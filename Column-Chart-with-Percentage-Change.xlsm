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slicers/slicer1.xml" ContentType="application/vnd.ms-excel.slicer+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2.xml" ContentType="application/vnd.ms-excel.slicer+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omments6.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D:\naylor interview preparation\interview call\Excel projects\"/>
    </mc:Choice>
  </mc:AlternateContent>
  <xr:revisionPtr revIDLastSave="0" documentId="13_ncr:1_{502E5DAF-6B65-4D98-80E4-73F9F495D909}" xr6:coauthVersionLast="46" xr6:coauthVersionMax="46" xr10:uidLastSave="{00000000-0000-0000-0000-000000000000}"/>
  <bookViews>
    <workbookView xWindow="-120" yWindow="-120" windowWidth="20730" windowHeight="11160" tabRatio="685" activeTab="1" xr2:uid="{D681B2A8-287F-4A24-8285-D54478416DEE}"/>
  </bookViews>
  <sheets>
    <sheet name="Column Chart Pct Var" sheetId="7" r:id="rId1"/>
    <sheet name="Example" sheetId="8" r:id="rId2"/>
    <sheet name="Conditional Format" sheetId="11" r:id="rId3"/>
    <sheet name="Macro - Wayne" sheetId="14" r:id="rId4"/>
    <sheet name="Combo XY - Peltier" sheetId="15" r:id="rId5"/>
    <sheet name="Iterations" sheetId="16" r:id="rId6"/>
    <sheet name="Positive Only" sheetId="9" r:id="rId7"/>
    <sheet name="Conditional Format v1" sheetId="10" state="hidden" r:id="rId8"/>
    <sheet name="Pivot" sheetId="13" r:id="rId9"/>
    <sheet name="Data" sheetId="12" r:id="rId10"/>
    <sheet name="Source" sheetId="6" r:id="rId11"/>
  </sheets>
  <definedNames>
    <definedName name="Slicer_Region">#N/A</definedName>
  </definedNames>
  <calcPr calcId="191029"/>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15" l="1"/>
  <c r="G11" i="15" s="1"/>
  <c r="G12" i="15" s="1"/>
  <c r="G13" i="15" s="1"/>
  <c r="G14" i="15" s="1"/>
  <c r="B15" i="15"/>
  <c r="B10" i="15"/>
  <c r="B12" i="15"/>
  <c r="B14" i="15"/>
  <c r="B13" i="15"/>
  <c r="B11" i="15"/>
  <c r="B9" i="15"/>
  <c r="D15" i="15" l="1"/>
  <c r="C15" i="15"/>
  <c r="F14" i="15"/>
  <c r="E14" i="15"/>
  <c r="D14" i="15"/>
  <c r="C14" i="15"/>
  <c r="F13" i="15"/>
  <c r="E13" i="15"/>
  <c r="D13" i="15"/>
  <c r="C13" i="15"/>
  <c r="F12" i="15"/>
  <c r="E12" i="15"/>
  <c r="D12" i="15"/>
  <c r="C12" i="15"/>
  <c r="F11" i="15"/>
  <c r="E11" i="15"/>
  <c r="D11" i="15"/>
  <c r="C11" i="15"/>
  <c r="F10" i="15"/>
  <c r="E10" i="15"/>
  <c r="D10" i="15"/>
  <c r="C10" i="15"/>
  <c r="F9" i="15"/>
  <c r="E9" i="15"/>
  <c r="D9" i="15"/>
  <c r="C9" i="15"/>
  <c r="C14" i="14"/>
  <c r="D14" i="14"/>
  <c r="C13" i="14"/>
  <c r="D13" i="14"/>
  <c r="C12" i="14"/>
  <c r="D12" i="14"/>
  <c r="C11" i="14"/>
  <c r="D11" i="14"/>
  <c r="C10" i="14"/>
  <c r="D10" i="14"/>
  <c r="C9" i="14"/>
  <c r="D9" i="14"/>
  <c r="C8" i="14"/>
  <c r="D8" i="14"/>
  <c r="I11" i="15" l="1"/>
  <c r="H11" i="15"/>
  <c r="I13" i="15"/>
  <c r="H13" i="15"/>
  <c r="H12" i="15"/>
  <c r="I12" i="15"/>
  <c r="I9" i="15"/>
  <c r="H9" i="15"/>
  <c r="I10" i="15"/>
  <c r="H10" i="15"/>
  <c r="I14" i="15"/>
  <c r="H14" i="15"/>
  <c r="E13" i="14"/>
  <c r="E8" i="14"/>
  <c r="E9" i="14"/>
  <c r="E10" i="14"/>
  <c r="E11" i="14"/>
  <c r="E12" i="14"/>
  <c r="I8" i="14"/>
  <c r="I9" i="14"/>
  <c r="I10" i="14"/>
  <c r="I11" i="14"/>
  <c r="I12" i="14"/>
  <c r="I13" i="14"/>
  <c r="F8" i="14"/>
  <c r="F9" i="14"/>
  <c r="F10" i="14"/>
  <c r="F11" i="14"/>
  <c r="F12" i="14"/>
  <c r="F13" i="14"/>
  <c r="H10" i="14" l="1"/>
  <c r="G10" i="14"/>
  <c r="H13" i="14"/>
  <c r="G13" i="14"/>
  <c r="H9" i="14"/>
  <c r="G9" i="14"/>
  <c r="H11" i="14"/>
  <c r="G11" i="14"/>
  <c r="H12" i="14"/>
  <c r="G12" i="14"/>
  <c r="H8" i="14"/>
  <c r="G8" i="14"/>
  <c r="E1" i="13" l="1"/>
  <c r="D1" i="13"/>
  <c r="B11" i="11"/>
  <c r="B7" i="11"/>
  <c r="B10" i="11"/>
  <c r="B8" i="11"/>
  <c r="B9" i="11"/>
  <c r="B5" i="11"/>
  <c r="B6" i="11"/>
  <c r="E8" i="11" l="1"/>
  <c r="G8" i="11"/>
  <c r="F8" i="11"/>
  <c r="F6" i="11"/>
  <c r="E6" i="11"/>
  <c r="G6" i="11"/>
  <c r="E5" i="11"/>
  <c r="F5" i="11"/>
  <c r="G5" i="11"/>
  <c r="G7" i="11"/>
  <c r="F7" i="11"/>
  <c r="E7" i="11"/>
  <c r="G10" i="11"/>
  <c r="F10" i="11"/>
  <c r="E10" i="11"/>
  <c r="F9" i="11"/>
  <c r="E9" i="11"/>
  <c r="G9" i="11"/>
  <c r="M11" i="11"/>
  <c r="D11" i="11"/>
  <c r="C11" i="11"/>
  <c r="K10" i="11"/>
  <c r="H10" i="11"/>
  <c r="I10" i="11" s="1"/>
  <c r="D10" i="11"/>
  <c r="C10" i="11"/>
  <c r="K9" i="11"/>
  <c r="H9" i="11"/>
  <c r="I9" i="11" s="1"/>
  <c r="D9" i="11"/>
  <c r="C9" i="11"/>
  <c r="K8" i="11"/>
  <c r="H8" i="11"/>
  <c r="I8" i="11" s="1"/>
  <c r="D8" i="11"/>
  <c r="C8" i="11"/>
  <c r="K7" i="11"/>
  <c r="H7" i="11"/>
  <c r="J7" i="11" s="1"/>
  <c r="D7" i="11"/>
  <c r="C7" i="11"/>
  <c r="K6" i="11"/>
  <c r="L6" i="11" s="1"/>
  <c r="H6" i="11"/>
  <c r="D6" i="11"/>
  <c r="C6" i="11"/>
  <c r="K5" i="11"/>
  <c r="H5" i="11"/>
  <c r="I5" i="11" s="1"/>
  <c r="D5" i="11"/>
  <c r="C5" i="11"/>
  <c r="M10" i="11" l="1"/>
  <c r="L10" i="11"/>
  <c r="M8" i="11"/>
  <c r="L8" i="11"/>
  <c r="M5" i="11"/>
  <c r="L5" i="11"/>
  <c r="M7" i="11"/>
  <c r="L7" i="11"/>
  <c r="M9" i="11"/>
  <c r="L9" i="11"/>
  <c r="J8" i="11"/>
  <c r="J6" i="11"/>
  <c r="I6" i="11"/>
  <c r="M6" i="11"/>
  <c r="J10" i="11"/>
  <c r="J5" i="11"/>
  <c r="I7" i="11"/>
  <c r="J9" i="11"/>
  <c r="E6" i="10"/>
  <c r="K11" i="10"/>
  <c r="L8" i="10"/>
  <c r="L11" i="10"/>
  <c r="L5" i="10"/>
  <c r="F10" i="10"/>
  <c r="F9" i="10"/>
  <c r="F8" i="10"/>
  <c r="F7" i="10"/>
  <c r="F6" i="10"/>
  <c r="F5" i="10"/>
  <c r="D11" i="10"/>
  <c r="C11" i="10"/>
  <c r="J10" i="10"/>
  <c r="L10" i="10" s="1"/>
  <c r="G10" i="10"/>
  <c r="H10" i="10" s="1"/>
  <c r="E10" i="10"/>
  <c r="D10" i="10"/>
  <c r="C10" i="10"/>
  <c r="J9" i="10"/>
  <c r="L9" i="10" s="1"/>
  <c r="H9" i="10"/>
  <c r="G9" i="10"/>
  <c r="I9" i="10" s="1"/>
  <c r="E9" i="10"/>
  <c r="D9" i="10"/>
  <c r="C9" i="10"/>
  <c r="J8" i="10"/>
  <c r="K8" i="10" s="1"/>
  <c r="G8" i="10"/>
  <c r="I8" i="10" s="1"/>
  <c r="E8" i="10"/>
  <c r="D8" i="10"/>
  <c r="C8" i="10"/>
  <c r="J7" i="10"/>
  <c r="L7" i="10" s="1"/>
  <c r="H7" i="10"/>
  <c r="G7" i="10"/>
  <c r="I7" i="10" s="1"/>
  <c r="E7" i="10"/>
  <c r="D7" i="10"/>
  <c r="C7" i="10"/>
  <c r="J6" i="10"/>
  <c r="L6" i="10" s="1"/>
  <c r="I6" i="10"/>
  <c r="G6" i="10"/>
  <c r="D6" i="10"/>
  <c r="C6" i="10"/>
  <c r="J5" i="10"/>
  <c r="K5" i="10" s="1"/>
  <c r="G5" i="10"/>
  <c r="I5" i="10" s="1"/>
  <c r="E5" i="10"/>
  <c r="D5" i="10"/>
  <c r="C5" i="10"/>
  <c r="E5" i="9"/>
  <c r="E6" i="9"/>
  <c r="E7" i="9"/>
  <c r="E8" i="9"/>
  <c r="E9" i="9"/>
  <c r="E10" i="9"/>
  <c r="D11" i="9"/>
  <c r="C11" i="9"/>
  <c r="I10" i="9"/>
  <c r="F10" i="9"/>
  <c r="G10" i="9" s="1"/>
  <c r="D10" i="9"/>
  <c r="C10" i="9"/>
  <c r="I9" i="9"/>
  <c r="F9" i="9"/>
  <c r="H9" i="9" s="1"/>
  <c r="D9" i="9"/>
  <c r="C9" i="9"/>
  <c r="I8" i="9"/>
  <c r="F8" i="9"/>
  <c r="H8" i="9" s="1"/>
  <c r="D8" i="9"/>
  <c r="C8" i="9"/>
  <c r="I7" i="9"/>
  <c r="F7" i="9"/>
  <c r="H7" i="9" s="1"/>
  <c r="D7" i="9"/>
  <c r="C7" i="9"/>
  <c r="I6" i="9"/>
  <c r="F6" i="9"/>
  <c r="G6" i="9" s="1"/>
  <c r="D6" i="9"/>
  <c r="C6" i="9"/>
  <c r="I5" i="9"/>
  <c r="F5" i="9"/>
  <c r="H5" i="9" s="1"/>
  <c r="D5" i="9"/>
  <c r="C5" i="9"/>
  <c r="G9" i="9" l="1"/>
  <c r="K7" i="10"/>
  <c r="H10" i="9"/>
  <c r="G8" i="9"/>
  <c r="H5" i="10"/>
  <c r="K10" i="10"/>
  <c r="G5" i="9"/>
  <c r="G7" i="9"/>
  <c r="I10" i="10"/>
  <c r="K9" i="10"/>
  <c r="H8" i="10"/>
  <c r="H6" i="9"/>
  <c r="E5" i="7" l="1"/>
  <c r="D11" i="8" l="1"/>
  <c r="C11" i="8"/>
  <c r="I10" i="8"/>
  <c r="H10" i="8"/>
  <c r="F10" i="8"/>
  <c r="G10" i="8" s="1"/>
  <c r="E10" i="8"/>
  <c r="D10" i="8"/>
  <c r="C10" i="8"/>
  <c r="I9" i="8"/>
  <c r="G9" i="8"/>
  <c r="F9" i="8"/>
  <c r="H9" i="8" s="1"/>
  <c r="E9" i="8"/>
  <c r="D9" i="8"/>
  <c r="C9" i="8"/>
  <c r="I8" i="8"/>
  <c r="F8" i="8"/>
  <c r="H8" i="8" s="1"/>
  <c r="E8" i="8"/>
  <c r="D8" i="8"/>
  <c r="C8" i="8"/>
  <c r="I7" i="8"/>
  <c r="F7" i="8"/>
  <c r="H7" i="8" s="1"/>
  <c r="E7" i="8"/>
  <c r="D7" i="8"/>
  <c r="C7" i="8"/>
  <c r="I6" i="8"/>
  <c r="H6" i="8"/>
  <c r="F6" i="8"/>
  <c r="G6" i="8" s="1"/>
  <c r="E6" i="8"/>
  <c r="D6" i="8"/>
  <c r="C6" i="8"/>
  <c r="I5" i="8"/>
  <c r="G5" i="8"/>
  <c r="F5" i="8"/>
  <c r="H5" i="8" s="1"/>
  <c r="E5" i="8"/>
  <c r="D5" i="8"/>
  <c r="C5" i="8"/>
  <c r="E6" i="7"/>
  <c r="D11" i="7"/>
  <c r="C11" i="7"/>
  <c r="I10" i="7"/>
  <c r="F10" i="7"/>
  <c r="G10" i="7" s="1"/>
  <c r="E10" i="7"/>
  <c r="D10" i="7"/>
  <c r="C10" i="7"/>
  <c r="I9" i="7"/>
  <c r="F9" i="7"/>
  <c r="H9" i="7" s="1"/>
  <c r="E9" i="7"/>
  <c r="D9" i="7"/>
  <c r="C9" i="7"/>
  <c r="I8" i="7"/>
  <c r="H8" i="7"/>
  <c r="F8" i="7"/>
  <c r="G8" i="7" s="1"/>
  <c r="E8" i="7"/>
  <c r="D8" i="7"/>
  <c r="C8" i="7"/>
  <c r="I7" i="7"/>
  <c r="F7" i="7"/>
  <c r="H7" i="7" s="1"/>
  <c r="E7" i="7"/>
  <c r="D7" i="7"/>
  <c r="C7" i="7"/>
  <c r="I6" i="7"/>
  <c r="F6" i="7"/>
  <c r="G6" i="7" s="1"/>
  <c r="D6" i="7"/>
  <c r="C6" i="7"/>
  <c r="I5" i="7"/>
  <c r="F5" i="7"/>
  <c r="H5" i="7" s="1"/>
  <c r="D5" i="7"/>
  <c r="C5" i="7"/>
  <c r="H6" i="7" l="1"/>
  <c r="G7" i="7"/>
  <c r="G5" i="7"/>
  <c r="G7" i="8"/>
  <c r="G8" i="8"/>
  <c r="G9" i="7"/>
  <c r="H10"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ED39C98E-418C-4CAB-9D30-DE75411E5069}">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038C105F-F31D-41CB-A9BA-B13C1C75A233}">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3EAA3E96-AEA7-4658-B043-474EA6965C3C}">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64FBF2C9-0C83-4279-8C07-1860818EC577}">
      <text>
        <r>
          <rPr>
            <b/>
            <sz val="9"/>
            <color indexed="81"/>
            <rFont val="Tahoma"/>
            <family val="2"/>
          </rPr>
          <t>Jon Acampora:</t>
        </r>
        <r>
          <rPr>
            <sz val="9"/>
            <color indexed="81"/>
            <rFont val="Tahoma"/>
            <family val="2"/>
          </rPr>
          <t xml:space="preserve">
The variance between the current year and next year.</t>
        </r>
      </text>
    </comment>
    <comment ref="G4" authorId="0" shapeId="0" xr:uid="{6154CD4B-1E1F-4C19-A7C8-4C9F21F92C9B}">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H4" authorId="0" shapeId="0" xr:uid="{F8AE393A-4DE9-4D1C-B1A6-70B135F8B421}">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I4" authorId="0" shapeId="0" xr:uid="{EB03F018-0F69-46C5-9F0A-1B23C2F80ED4}">
      <text>
        <r>
          <rPr>
            <b/>
            <sz val="9"/>
            <color indexed="81"/>
            <rFont val="Tahoma"/>
            <family val="2"/>
          </rPr>
          <t>Jon Acampora:</t>
        </r>
        <r>
          <rPr>
            <sz val="9"/>
            <color indexed="81"/>
            <rFont val="Tahoma"/>
            <family val="2"/>
          </rPr>
          <t xml:space="preserve">
Used for the labels on the invisible column under the error bars.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FA21531D-5E9C-45EF-B1FA-D3900DCCE540}">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C72EC00E-40D2-473C-A5E8-5F710611F461}">
      <text>
        <r>
          <rPr>
            <sz val="9"/>
            <color indexed="81"/>
            <rFont val="Tahoma"/>
            <family val="2"/>
          </rPr>
          <t xml:space="preserve">
Reference to the amount in column B with thousands ($#,###,K) number formatting applied.</t>
        </r>
      </text>
    </comment>
    <comment ref="E4" authorId="0" shapeId="0" xr:uid="{9C431FD3-AFF4-4612-A904-DFD64B0D0D10}">
      <text>
        <r>
          <rPr>
            <sz val="9"/>
            <color indexed="81"/>
            <rFont val="Tahoma"/>
            <family val="2"/>
          </rPr>
          <t xml:space="preserve">
Reference the amount from the next period.  This is used for the invisible bars that are the top of the error bar.</t>
        </r>
      </text>
    </comment>
    <comment ref="F4" authorId="0" shapeId="0" xr:uid="{8A93A15E-AEAA-410C-B7DE-E6F4B3027C43}">
      <text>
        <r>
          <rPr>
            <sz val="9"/>
            <color indexed="81"/>
            <rFont val="Tahoma"/>
            <family val="2"/>
          </rPr>
          <t xml:space="preserve">
The variance between the current year and next year.</t>
        </r>
      </text>
    </comment>
    <comment ref="G4" authorId="0" shapeId="0" xr:uid="{A3CE0A8C-2C07-4EAE-9ACF-8D418F8B00F4}">
      <text>
        <r>
          <rPr>
            <sz val="9"/>
            <color indexed="81"/>
            <rFont val="Tahoma"/>
            <family val="2"/>
          </rPr>
          <t xml:space="preserve">
Uses the IF function to return the variance if it is positive. Used for the error bars.</t>
        </r>
      </text>
    </comment>
    <comment ref="H4" authorId="0" shapeId="0" xr:uid="{8B1A48FD-CAB0-4BE7-9567-652A02AD8135}">
      <text>
        <r>
          <rPr>
            <sz val="9"/>
            <color indexed="81"/>
            <rFont val="Tahoma"/>
            <family val="2"/>
          </rPr>
          <t xml:space="preserve">
Uses the IF function to return the variance if it is negative. Used for the error bars.</t>
        </r>
      </text>
    </comment>
    <comment ref="I4" authorId="0" shapeId="0" xr:uid="{057A150C-C416-497C-A022-56012EA0FB17}">
      <text>
        <r>
          <rPr>
            <sz val="9"/>
            <color indexed="81"/>
            <rFont val="Tahoma"/>
            <family val="2"/>
          </rPr>
          <t xml:space="preserve">
Used for the labels on the invisible column under the error bars.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62F917A8-B910-48DA-A846-444A34E31ADA}">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564774BE-4CDB-4E58-9E67-E2B653DD400E}">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1B6FD679-A1BB-4793-9A74-1FEC5271EA3B}">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47273EF3-959D-4A51-BAD9-DA868CB99689}">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G4" authorId="0" shapeId="0" xr:uid="{85DE595F-817C-41DE-BF15-9BBDD4DD1A1F}">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H4" authorId="0" shapeId="0" xr:uid="{2939B683-9C73-4BEA-A6F4-851CF0B2FFEC}">
      <text>
        <r>
          <rPr>
            <b/>
            <sz val="9"/>
            <color indexed="81"/>
            <rFont val="Tahoma"/>
            <family val="2"/>
          </rPr>
          <t>Jon Acampora:</t>
        </r>
        <r>
          <rPr>
            <sz val="9"/>
            <color indexed="81"/>
            <rFont val="Tahoma"/>
            <family val="2"/>
          </rPr>
          <t xml:space="preserve">
The variance between the current year and next year.</t>
        </r>
      </text>
    </comment>
    <comment ref="I4" authorId="0" shapeId="0" xr:uid="{148933C5-97E7-4319-A495-1EA771A24B5D}">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J4" authorId="0" shapeId="0" xr:uid="{1341B884-E915-4019-BDDC-A624CC451C91}">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K4" authorId="0" shapeId="0" xr:uid="{7A447AAF-2D60-442F-8847-1AF2CF4B881E}">
      <text>
        <r>
          <rPr>
            <b/>
            <sz val="9"/>
            <color indexed="81"/>
            <rFont val="Tahoma"/>
            <family val="2"/>
          </rPr>
          <t>Jon Acampora:</t>
        </r>
        <r>
          <rPr>
            <sz val="9"/>
            <color indexed="81"/>
            <rFont val="Tahoma"/>
            <family val="2"/>
          </rPr>
          <t xml:space="preserve">
Used for the labels on the invisible column under the error bars.</t>
        </r>
      </text>
    </comment>
    <comment ref="L4" authorId="0" shapeId="0" xr:uid="{E39E5E03-0C69-4028-A98A-5BA19FC4036E}">
      <text>
        <r>
          <rPr>
            <b/>
            <sz val="9"/>
            <color indexed="81"/>
            <rFont val="Tahoma"/>
            <family val="2"/>
          </rPr>
          <t>Jon Acampora:</t>
        </r>
        <r>
          <rPr>
            <sz val="9"/>
            <color indexed="81"/>
            <rFont val="Tahoma"/>
            <family val="2"/>
          </rPr>
          <t xml:space="preserve">
Data label for positive error bars.</t>
        </r>
      </text>
    </comment>
    <comment ref="M4" authorId="0" shapeId="0" xr:uid="{A5C5C995-D711-4C0C-9A1B-50F65F194AC1}">
      <text>
        <r>
          <rPr>
            <b/>
            <sz val="9"/>
            <color indexed="81"/>
            <rFont val="Tahoma"/>
            <family val="2"/>
          </rPr>
          <t>Jon Acampora:</t>
        </r>
        <r>
          <rPr>
            <sz val="9"/>
            <color indexed="81"/>
            <rFont val="Tahoma"/>
            <family val="2"/>
          </rPr>
          <t xml:space="preserve">
Data label for negative error bars.</t>
        </r>
      </text>
    </comment>
    <comment ref="N4" authorId="0" shapeId="0" xr:uid="{43CF52EF-B6FC-4B5C-8FA3-6C2BBB862475}">
      <text>
        <r>
          <rPr>
            <b/>
            <sz val="9"/>
            <color indexed="81"/>
            <rFont val="Tahoma"/>
            <family val="2"/>
          </rPr>
          <t>Jon Acampora:</t>
        </r>
        <r>
          <rPr>
            <sz val="9"/>
            <color indexed="81"/>
            <rFont val="Tahoma"/>
            <family val="2"/>
          </rPr>
          <t xml:space="preserve">
Used a place holder for pos/neg error bars that are not used in each series.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7" authorId="0" shapeId="0" xr:uid="{4D84485D-899D-43DB-9A4F-C6FA07A6E4E8}">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7" authorId="0" shapeId="0" xr:uid="{CE174A37-2A0F-438D-88A5-BC1C7B6C8747}">
      <text>
        <r>
          <rPr>
            <b/>
            <sz val="9"/>
            <color indexed="81"/>
            <rFont val="Tahoma"/>
            <family val="2"/>
          </rPr>
          <t>Jon Acampora:</t>
        </r>
        <r>
          <rPr>
            <sz val="9"/>
            <color indexed="81"/>
            <rFont val="Tahoma"/>
            <family val="2"/>
          </rPr>
          <t xml:space="preserve">
Reference to the amount in column B with thousands ($#,###,K) number formatting applied.</t>
        </r>
      </text>
    </comment>
    <comment ref="E7" authorId="0" shapeId="0" xr:uid="{250221FE-D7BF-42E0-A641-4D3878FC3028}">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7" authorId="0" shapeId="0" xr:uid="{C69642EF-F198-483C-B716-2A3B92B10835}">
      <text>
        <r>
          <rPr>
            <b/>
            <sz val="9"/>
            <color indexed="81"/>
            <rFont val="Tahoma"/>
            <family val="2"/>
          </rPr>
          <t>Jon Acampora:</t>
        </r>
        <r>
          <rPr>
            <sz val="9"/>
            <color indexed="81"/>
            <rFont val="Tahoma"/>
            <family val="2"/>
          </rPr>
          <t xml:space="preserve">
The variance between the current year and next year.</t>
        </r>
      </text>
    </comment>
    <comment ref="G7" authorId="0" shapeId="0" xr:uid="{C7A0E86C-531C-4ECD-894D-823AEBED8A37}">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H7" authorId="0" shapeId="0" xr:uid="{334299C9-CAF4-4184-9936-661D0B730084}">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I7" authorId="0" shapeId="0" xr:uid="{D500A07E-E197-492C-BA1F-94C19E040009}">
      <text>
        <r>
          <rPr>
            <b/>
            <sz val="9"/>
            <color indexed="81"/>
            <rFont val="Tahoma"/>
            <family val="2"/>
          </rPr>
          <t>Jon Acampora:</t>
        </r>
        <r>
          <rPr>
            <sz val="9"/>
            <color indexed="81"/>
            <rFont val="Tahoma"/>
            <family val="2"/>
          </rPr>
          <t xml:space="preserve">
Used for the labels on the invisible column under the error bars.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8" authorId="0" shapeId="0" xr:uid="{70AF1584-FCB3-4F6E-883F-BECE41983841}">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8" authorId="0" shapeId="0" xr:uid="{9CB9E044-4238-4C0F-BD6A-496B7B013548}">
      <text>
        <r>
          <rPr>
            <b/>
            <sz val="9"/>
            <color indexed="81"/>
            <rFont val="Tahoma"/>
            <family val="2"/>
          </rPr>
          <t>Jon Acampora:</t>
        </r>
        <r>
          <rPr>
            <sz val="9"/>
            <color indexed="81"/>
            <rFont val="Tahoma"/>
            <family val="2"/>
          </rPr>
          <t xml:space="preserve">
Reference to the amount in column B with thousands ($#,###,K) number formatting applied.</t>
        </r>
      </text>
    </comment>
    <comment ref="E8" authorId="0" shapeId="0" xr:uid="{2D49A7E3-0126-439B-9A73-8AF90A6A6DD3}">
      <text>
        <r>
          <rPr>
            <b/>
            <sz val="9"/>
            <color indexed="81"/>
            <rFont val="Tahoma"/>
            <family val="2"/>
          </rPr>
          <t>Jon Acampora:</t>
        </r>
        <r>
          <rPr>
            <sz val="9"/>
            <color indexed="81"/>
            <rFont val="Tahoma"/>
            <family val="2"/>
          </rPr>
          <t xml:space="preserve">
The variance between the current year and next year.</t>
        </r>
      </text>
    </comment>
    <comment ref="F8" authorId="0" shapeId="0" xr:uid="{F813AC57-E4A7-4B4D-A301-EA2114ED0B11}">
      <text>
        <r>
          <rPr>
            <b/>
            <sz val="9"/>
            <color indexed="81"/>
            <rFont val="Tahoma"/>
            <family val="2"/>
          </rPr>
          <t>Jon Acampora:</t>
        </r>
        <r>
          <rPr>
            <sz val="9"/>
            <color indexed="81"/>
            <rFont val="Tahoma"/>
            <family val="2"/>
          </rPr>
          <t xml:space="preserve">
Used for the labels on the XY series for increase/decrease.</t>
        </r>
      </text>
    </comment>
    <comment ref="G8" authorId="0" shapeId="0" xr:uid="{527B71A9-041D-4E86-99B2-C917B769DBE8}">
      <text>
        <r>
          <rPr>
            <b/>
            <sz val="9"/>
            <color indexed="81"/>
            <rFont val="Tahoma"/>
            <family val="2"/>
          </rPr>
          <t>Jon Acampora:</t>
        </r>
        <r>
          <rPr>
            <sz val="9"/>
            <color indexed="81"/>
            <rFont val="Tahoma"/>
            <family val="2"/>
          </rPr>
          <t xml:space="preserve">
Used for the XY Scatter chart to create the data points between the visible bars of the column chart.</t>
        </r>
      </text>
    </comment>
    <comment ref="H8" authorId="0" shapeId="0" xr:uid="{4DD4C38E-AD69-4A49-ADF7-0D5444B84E32}">
      <text>
        <r>
          <rPr>
            <b/>
            <sz val="9"/>
            <color indexed="81"/>
            <rFont val="Tahoma"/>
            <family val="2"/>
          </rPr>
          <t>Jon Acampora:</t>
        </r>
        <r>
          <rPr>
            <sz val="9"/>
            <color indexed="81"/>
            <rFont val="Tahoma"/>
            <family val="2"/>
          </rPr>
          <t xml:space="preserve">
The revenue for the next period if there is an increase.  Used for the data points for the XY series.</t>
        </r>
      </text>
    </comment>
    <comment ref="I8" authorId="0" shapeId="0" xr:uid="{10FD8E4E-D71F-4F8E-8ADF-BBBA34E20601}">
      <text>
        <r>
          <rPr>
            <b/>
            <sz val="9"/>
            <color indexed="81"/>
            <rFont val="Tahoma"/>
            <family val="2"/>
          </rPr>
          <t>Jon Acampora:</t>
        </r>
        <r>
          <rPr>
            <sz val="9"/>
            <color indexed="81"/>
            <rFont val="Tahoma"/>
            <family val="2"/>
          </rPr>
          <t xml:space="preserve">
The revenue for the next period if there is an decrease.  Used for the data points for the XY series.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4905B411-6D02-4FFF-A434-5297E018D44A}">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C01226BD-DA11-4F73-B286-624D902D7053}">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B2DBF482-006E-4BA3-9CA0-7F8D9413F5B3}">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1A18E7F9-8824-44DD-A292-4DA7D208AC1E}">
      <text>
        <r>
          <rPr>
            <b/>
            <sz val="9"/>
            <color indexed="81"/>
            <rFont val="Tahoma"/>
            <family val="2"/>
          </rPr>
          <t>Jon Acampora:</t>
        </r>
        <r>
          <rPr>
            <sz val="9"/>
            <color indexed="81"/>
            <rFont val="Tahoma"/>
            <family val="2"/>
          </rPr>
          <t xml:space="preserve">
The variance between the current year and next year.</t>
        </r>
      </text>
    </comment>
    <comment ref="G4" authorId="0" shapeId="0" xr:uid="{8661DAF7-5A73-4CB1-BC5C-05DC53BE7B91}">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H4" authorId="0" shapeId="0" xr:uid="{BD4B8C9C-B0D7-4BFB-B2E1-E62F919DF157}">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I4" authorId="0" shapeId="0" xr:uid="{6E5B4F27-3466-401E-AE06-0A10658CF46C}">
      <text>
        <r>
          <rPr>
            <b/>
            <sz val="9"/>
            <color indexed="81"/>
            <rFont val="Tahoma"/>
            <family val="2"/>
          </rPr>
          <t>Jon Acampora:</t>
        </r>
        <r>
          <rPr>
            <sz val="9"/>
            <color indexed="81"/>
            <rFont val="Tahoma"/>
            <family val="2"/>
          </rPr>
          <t xml:space="preserve">
Used for the labels on the invisible column under the error bars.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79EED6A2-42F6-4015-AC88-B7B8B6512A8E}">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F4289E25-BF2C-4A3C-88BA-BD44E4958C93}">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80336ADC-BDC5-4017-8502-654606457B68}">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EE310EF1-C32F-44D3-8EAB-F2CED58D948E}">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G4" authorId="0" shapeId="0" xr:uid="{C573913A-FA26-47A0-A5BC-32D1631CD147}">
      <text>
        <r>
          <rPr>
            <b/>
            <sz val="9"/>
            <color indexed="81"/>
            <rFont val="Tahoma"/>
            <family val="2"/>
          </rPr>
          <t>Jon Acampora:</t>
        </r>
        <r>
          <rPr>
            <sz val="9"/>
            <color indexed="81"/>
            <rFont val="Tahoma"/>
            <family val="2"/>
          </rPr>
          <t xml:space="preserve">
The variance between the current year and next year.</t>
        </r>
      </text>
    </comment>
    <comment ref="H4" authorId="0" shapeId="0" xr:uid="{BB1B7D8E-33BD-4C77-B7F7-93358CCBEC11}">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I4" authorId="0" shapeId="0" xr:uid="{2A83DAB9-78AC-4116-BCC5-5563E9C5E2CA}">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J4" authorId="0" shapeId="0" xr:uid="{217291B2-E5BC-4F73-989E-2CA2EBB291F5}">
      <text>
        <r>
          <rPr>
            <b/>
            <sz val="9"/>
            <color indexed="81"/>
            <rFont val="Tahoma"/>
            <family val="2"/>
          </rPr>
          <t>Jon Acampora:</t>
        </r>
        <r>
          <rPr>
            <sz val="9"/>
            <color indexed="81"/>
            <rFont val="Tahoma"/>
            <family val="2"/>
          </rPr>
          <t xml:space="preserve">
Used for the labels on the invisible column under the error bars.</t>
        </r>
      </text>
    </comment>
    <comment ref="K4" authorId="0" shapeId="0" xr:uid="{F19D22F6-89AC-45A4-B77C-37801FE68B3C}">
      <text>
        <r>
          <rPr>
            <b/>
            <sz val="9"/>
            <color indexed="81"/>
            <rFont val="Tahoma"/>
            <family val="2"/>
          </rPr>
          <t>Jon Acampora:</t>
        </r>
        <r>
          <rPr>
            <sz val="9"/>
            <color indexed="81"/>
            <rFont val="Tahoma"/>
            <family val="2"/>
          </rPr>
          <t xml:space="preserve">
Data label for positive error bars.</t>
        </r>
      </text>
    </comment>
    <comment ref="L4" authorId="0" shapeId="0" xr:uid="{1108B4FB-24A3-4A5C-A7F8-D385822DA313}">
      <text>
        <r>
          <rPr>
            <b/>
            <sz val="9"/>
            <color indexed="81"/>
            <rFont val="Tahoma"/>
            <family val="2"/>
          </rPr>
          <t>Jon Acampora:</t>
        </r>
        <r>
          <rPr>
            <sz val="9"/>
            <color indexed="81"/>
            <rFont val="Tahoma"/>
            <family val="2"/>
          </rPr>
          <t xml:space="preserve">
Data label for negative error bars.</t>
        </r>
      </text>
    </comment>
    <comment ref="M4" authorId="0" shapeId="0" xr:uid="{0A68E5D4-690F-4187-B145-7E7617965D17}">
      <text>
        <r>
          <rPr>
            <b/>
            <sz val="9"/>
            <color indexed="81"/>
            <rFont val="Tahoma"/>
            <family val="2"/>
          </rPr>
          <t>Jon Acampora:</t>
        </r>
        <r>
          <rPr>
            <sz val="9"/>
            <color indexed="81"/>
            <rFont val="Tahoma"/>
            <family val="2"/>
          </rPr>
          <t xml:space="preserve">
Used a place holder for pos/neg error bars that are not used in each series.</t>
        </r>
      </text>
    </comment>
  </commentList>
</comments>
</file>

<file path=xl/sharedStrings.xml><?xml version="1.0" encoding="utf-8"?>
<sst xmlns="http://schemas.openxmlformats.org/spreadsheetml/2006/main" count="165" uniqueCount="55">
  <si>
    <t>Amount</t>
  </si>
  <si>
    <t>Variance</t>
  </si>
  <si>
    <t>Variance %</t>
  </si>
  <si>
    <t>Var +</t>
  </si>
  <si>
    <t>Var -</t>
  </si>
  <si>
    <t>Invisible Bar</t>
  </si>
  <si>
    <t>Year</t>
  </si>
  <si>
    <t>Year Label</t>
  </si>
  <si>
    <t>&lt;-Label Spacer</t>
  </si>
  <si>
    <t/>
  </si>
  <si>
    <t>Revenue $K</t>
  </si>
  <si>
    <t>Column Chart with Percentage Change</t>
  </si>
  <si>
    <t>Author:</t>
  </si>
  <si>
    <t>Jon Acampora</t>
  </si>
  <si>
    <t>Source:</t>
  </si>
  <si>
    <t>https://www.excelcampus.com/charts/column-chart-percentage-change/</t>
  </si>
  <si>
    <t>Invisible Bar 2</t>
  </si>
  <si>
    <t>Var % +</t>
  </si>
  <si>
    <t>Var % -</t>
  </si>
  <si>
    <t>Blank Error</t>
  </si>
  <si>
    <t>Region</t>
  </si>
  <si>
    <t>Revenue</t>
  </si>
  <si>
    <t>North</t>
  </si>
  <si>
    <t>South</t>
  </si>
  <si>
    <t>East</t>
  </si>
  <si>
    <t>West</t>
  </si>
  <si>
    <t>Row Labels</t>
  </si>
  <si>
    <t>Grand Total</t>
  </si>
  <si>
    <t>Sum of Revenue</t>
  </si>
  <si>
    <t>Invisible Bar +</t>
  </si>
  <si>
    <t>Invisible Bar -</t>
  </si>
  <si>
    <t>Jon's</t>
  </si>
  <si>
    <t>Original</t>
  </si>
  <si>
    <t>Data</t>
  </si>
  <si>
    <t>NOTES:</t>
  </si>
  <si>
    <t>I used RANDBETWEEN() in cells B5:B11 to make it easy to test</t>
  </si>
  <si>
    <r>
      <t xml:space="preserve">macro function and results. </t>
    </r>
    <r>
      <rPr>
        <b/>
        <sz val="11"/>
        <color rgb="FFFF0000"/>
        <rFont val="Calibri"/>
        <family val="2"/>
      </rPr>
      <t>Press F9</t>
    </r>
    <r>
      <rPr>
        <b/>
        <sz val="11"/>
        <color theme="1"/>
        <rFont val="Calibri"/>
        <family val="2"/>
        <scheme val="minor"/>
      </rPr>
      <t xml:space="preserve"> to cycle through some</t>
    </r>
  </si>
  <si>
    <t>data changes and see the chart automatically adjust. Also, the</t>
  </si>
  <si>
    <t>macro is assigned to the Adjust Error Bars image button (upper</t>
  </si>
  <si>
    <t>right). However, I also call the macro from the</t>
  </si>
  <si>
    <t>Worksheet_Calculate event (see code).</t>
  </si>
  <si>
    <t>the position of the labels above/below the error bars and the color of the</t>
  </si>
  <si>
    <t>green/red data labels.</t>
  </si>
  <si>
    <t>This version was submitted by Wayne Edmonson.  It uses a macro to change</t>
  </si>
  <si>
    <t>XY</t>
  </si>
  <si>
    <t>Increase</t>
  </si>
  <si>
    <t>Deacrease</t>
  </si>
  <si>
    <t>Note - I removed the RANDBETWEEN function from B5:B11</t>
  </si>
  <si>
    <t>so it would not interfer with changes made to other sheets.</t>
  </si>
  <si>
    <t>This version was created by Jon Peltier at PeltierTech.com.  It uses a combo</t>
  </si>
  <si>
    <t>chart with an XY scatter to create the data points for the error bars between</t>
  </si>
  <si>
    <t>the columns.  You can read the full tutorial at the following link.</t>
  </si>
  <si>
    <t>https://peltiertech.com/revenue-chart-showing-year-over-year-variances/</t>
  </si>
  <si>
    <t>The Progression of The Column Chart with Percentage Change</t>
  </si>
  <si>
    <t>Column Chart with Percentage Change - Wayne Edmondson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</si>
</sst>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quot;$&quot;#,##0,\K"/>
    <numFmt numFmtId="166" formatCode="\+0%;\-0%"/>
  </numFmts>
  <fonts count="12"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i/>
      <sz val="11"/>
      <color theme="1" tint="0.499984740745262"/>
      <name val="Calibri"/>
      <family val="2"/>
      <scheme val="minor"/>
    </font>
    <font>
      <u/>
      <sz val="11"/>
      <color theme="10"/>
      <name val="Calibri"/>
      <family val="2"/>
      <scheme val="minor"/>
    </font>
    <font>
      <sz val="9"/>
      <color indexed="81"/>
      <name val="Tahoma"/>
      <family val="2"/>
    </font>
    <font>
      <b/>
      <sz val="9"/>
      <color indexed="81"/>
      <name val="Tahoma"/>
      <family val="2"/>
    </font>
    <font>
      <b/>
      <sz val="11"/>
      <color rgb="FFFF0000"/>
      <name val="Calibri"/>
      <family val="2"/>
    </font>
    <font>
      <b/>
      <sz val="14"/>
      <name val="Calibri"/>
      <family val="2"/>
      <scheme val="minor"/>
    </font>
    <font>
      <sz val="11"/>
      <name val="Calibri"/>
      <family val="2"/>
      <scheme val="minor"/>
    </font>
    <font>
      <b/>
      <sz val="11"/>
      <color rgb="FFFF0000"/>
      <name val="Calibri"/>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s>
  <borders count="7">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Alignment="0" applyProtection="0"/>
  </cellStyleXfs>
  <cellXfs count="32">
    <xf numFmtId="0" fontId="0" fillId="0" borderId="0" xfId="0"/>
    <xf numFmtId="0" fontId="2" fillId="0" borderId="0" xfId="0" applyFont="1"/>
    <xf numFmtId="0" fontId="2" fillId="2" borderId="1" xfId="0" applyFont="1" applyFill="1" applyBorder="1"/>
    <xf numFmtId="0" fontId="2" fillId="3" borderId="1" xfId="0" applyFont="1" applyFill="1" applyBorder="1"/>
    <xf numFmtId="0" fontId="0" fillId="0" borderId="1" xfId="0" applyBorder="1"/>
    <xf numFmtId="166" fontId="0" fillId="0" borderId="1" xfId="2" applyNumberFormat="1" applyFont="1" applyBorder="1"/>
    <xf numFmtId="0" fontId="3" fillId="0" borderId="0" xfId="0" applyFont="1"/>
    <xf numFmtId="0" fontId="4" fillId="0" borderId="0" xfId="0" applyFont="1"/>
    <xf numFmtId="164" fontId="0" fillId="0" borderId="1" xfId="1" applyNumberFormat="1" applyFont="1" applyBorder="1"/>
    <xf numFmtId="0" fontId="0" fillId="0" borderId="0" xfId="0" quotePrefix="1"/>
    <xf numFmtId="0" fontId="0" fillId="0" borderId="3" xfId="0" applyBorder="1"/>
    <xf numFmtId="164" fontId="0" fillId="0" borderId="4" xfId="1" applyNumberFormat="1" applyFont="1" applyBorder="1"/>
    <xf numFmtId="0" fontId="2" fillId="3" borderId="5" xfId="0" applyFont="1" applyFill="1" applyBorder="1"/>
    <xf numFmtId="165" fontId="0" fillId="0" borderId="2" xfId="0" applyNumberFormat="1" applyBorder="1"/>
    <xf numFmtId="0" fontId="5" fillId="0" borderId="0" xfId="3"/>
    <xf numFmtId="0" fontId="2" fillId="3" borderId="6" xfId="0" applyFont="1" applyFill="1" applyBorder="1"/>
    <xf numFmtId="166" fontId="0" fillId="0" borderId="3" xfId="2" applyNumberFormat="1" applyFont="1" applyBorder="1"/>
    <xf numFmtId="166" fontId="0" fillId="0" borderId="2" xfId="2" applyNumberFormat="1" applyFont="1" applyBorder="1"/>
    <xf numFmtId="9" fontId="0" fillId="0" borderId="2" xfId="2" applyFont="1" applyBorder="1"/>
    <xf numFmtId="0" fontId="0" fillId="0" borderId="2" xfId="0" applyBorder="1"/>
    <xf numFmtId="166" fontId="0" fillId="0" borderId="2" xfId="2" quotePrefix="1" applyNumberFormat="1" applyFont="1" applyBorder="1"/>
    <xf numFmtId="164" fontId="0" fillId="0" borderId="0" xfId="1" applyNumberFormat="1" applyFont="1"/>
    <xf numFmtId="0" fontId="0" fillId="0" borderId="0" xfId="0" pivotButton="1"/>
    <xf numFmtId="0" fontId="0" fillId="0" borderId="0" xfId="0" applyAlignment="1">
      <alignment horizontal="left"/>
    </xf>
    <xf numFmtId="3" fontId="0" fillId="0" borderId="0" xfId="0" applyNumberFormat="1"/>
    <xf numFmtId="164" fontId="0" fillId="0" borderId="0" xfId="1" applyNumberFormat="1" applyFont="1" applyFill="1" applyBorder="1"/>
    <xf numFmtId="0" fontId="9" fillId="0" borderId="0" xfId="0" applyFont="1"/>
    <xf numFmtId="0" fontId="10" fillId="0" borderId="0" xfId="0" applyFont="1"/>
    <xf numFmtId="0" fontId="0" fillId="0" borderId="0" xfId="0" applyFont="1"/>
    <xf numFmtId="0" fontId="2" fillId="3" borderId="3" xfId="0" applyFont="1" applyFill="1" applyBorder="1"/>
    <xf numFmtId="0" fontId="2" fillId="3" borderId="2" xfId="0" applyFont="1" applyFill="1" applyBorder="1"/>
    <xf numFmtId="0" fontId="11" fillId="0" borderId="0" xfId="0" applyFont="1"/>
  </cellXfs>
  <cellStyles count="4">
    <cellStyle name="Comma" xfId="1" builtinId="3"/>
    <cellStyle name="Hyperlink" xfId="3" builtinId="8"/>
    <cellStyle name="Normal" xfId="0" builtinId="0"/>
    <cellStyle name="Percent" xfId="2" builtinId="5"/>
  </cellStyles>
  <dxfs count="1">
    <dxf>
      <numFmt numFmtId="164" formatCode="_(* #,##0_);_(* \(#,##0\);_(* &quot;-&quot;??_);_(@_)"/>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'Column Chart Pct Var'!$D$4</c:f>
              <c:strCache>
                <c:ptCount val="1"/>
                <c:pt idx="0">
                  <c:v>Revenue $K</c:v>
                </c:pt>
              </c:strCache>
            </c:strRef>
          </c:tx>
          <c:spPr>
            <a:solidFill>
              <a:schemeClr val="bg1">
                <a:lumMod val="50000"/>
              </a:schemeClr>
            </a:solidFill>
            <a:ln>
              <a:solidFill>
                <a:schemeClr val="bg1">
                  <a:lumMod val="50000"/>
                </a:schemeClr>
              </a:solidFill>
            </a:ln>
            <a:effectLst/>
          </c:spPr>
          <c:invertIfNegative val="0"/>
          <c:cat>
            <c:strRef>
              <c:f>'Column Chart Pct Var'!$C$5:$C$11</c:f>
              <c:strCache>
                <c:ptCount val="7"/>
                <c:pt idx="0">
                  <c:v>2011             </c:v>
                </c:pt>
                <c:pt idx="1">
                  <c:v>2012             </c:v>
                </c:pt>
                <c:pt idx="2">
                  <c:v>2013             </c:v>
                </c:pt>
                <c:pt idx="3">
                  <c:v>2014             </c:v>
                </c:pt>
                <c:pt idx="4">
                  <c:v>2015             </c:v>
                </c:pt>
                <c:pt idx="5">
                  <c:v>2016             </c:v>
                </c:pt>
                <c:pt idx="6">
                  <c:v>2017             </c:v>
                </c:pt>
              </c:strCache>
            </c:strRef>
          </c:cat>
          <c:val>
            <c:numRef>
              <c:f>'Column Chart Pct Var'!$D$5:$D$11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C549-482F-9207-BD8697139520}"/>
            </c:ext>
          </c:extLst>
        </c:ser>
        <c:ser>
          <c:idx val="1"/>
          <c:order val="1"/>
          <c:tx>
            <c:strRef>
              <c:f>'Column Chart Pct Var'!$E$4</c:f>
              <c:strCache>
                <c:ptCount val="1"/>
                <c:pt idx="0">
                  <c:v>Invisible Bar</c:v>
                </c:pt>
              </c:strCache>
            </c:strRef>
          </c:tx>
          <c:spPr>
            <a:noFill/>
            <a:ln>
              <a:noFill/>
            </a:ln>
            <a:effectLst/>
          </c:spPr>
          <c:invertIfNegative val="0"/>
          <c:dLbls>
            <c:dLbl>
              <c:idx val="0"/>
              <c:tx>
                <c:rich>
                  <a:bodyPr/>
                  <a:lstStyle/>
                  <a:p>
                    <a:fld id="{3BFFB5BE-096A-4D16-A12A-3BA5AD13412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549-482F-9207-BD8697139520}"/>
                </c:ext>
              </c:extLst>
            </c:dLbl>
            <c:dLbl>
              <c:idx val="1"/>
              <c:tx>
                <c:rich>
                  <a:bodyPr/>
                  <a:lstStyle/>
                  <a:p>
                    <a:fld id="{B482677A-5A15-40E6-803A-A11A9352AB0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C549-482F-9207-BD8697139520}"/>
                </c:ext>
              </c:extLst>
            </c:dLbl>
            <c:dLbl>
              <c:idx val="2"/>
              <c:tx>
                <c:rich>
                  <a:bodyPr/>
                  <a:lstStyle/>
                  <a:p>
                    <a:fld id="{77748A9B-1FAB-439D-A18B-D113B7C5CEA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549-482F-9207-BD8697139520}"/>
                </c:ext>
              </c:extLst>
            </c:dLbl>
            <c:dLbl>
              <c:idx val="3"/>
              <c:tx>
                <c:rich>
                  <a:bodyPr/>
                  <a:lstStyle/>
                  <a:p>
                    <a:fld id="{C837BA37-FB6A-49AD-A781-43231DF8730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549-482F-9207-BD8697139520}"/>
                </c:ext>
              </c:extLst>
            </c:dLbl>
            <c:dLbl>
              <c:idx val="4"/>
              <c:tx>
                <c:rich>
                  <a:bodyPr/>
                  <a:lstStyle/>
                  <a:p>
                    <a:fld id="{F89A1ED7-9E8F-46EC-85C4-9FD2077E21D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549-482F-9207-BD8697139520}"/>
                </c:ext>
              </c:extLst>
            </c:dLbl>
            <c:dLbl>
              <c:idx val="5"/>
              <c:tx>
                <c:rich>
                  <a:bodyPr/>
                  <a:lstStyle/>
                  <a:p>
                    <a:fld id="{61237E37-CF33-4E46-8FF6-447076C6C97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549-482F-9207-BD8697139520}"/>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549-482F-9207-BD8697139520}"/>
                </c:ext>
              </c:extLst>
            </c:dLbl>
            <c:spPr>
              <a:solidFill>
                <a:schemeClr val="bg1"/>
              </a:solid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0"/>
            <c:plus>
              <c:numRef>
                <c:f>'Column Chart Pct Var'!$G$5:$G$11</c:f>
                <c:numCache>
                  <c:formatCode>General</c:formatCode>
                  <c:ptCount val="7"/>
                  <c:pt idx="0">
                    <c:v>-39000</c:v>
                  </c:pt>
                  <c:pt idx="1">
                    <c:v>0</c:v>
                  </c:pt>
                  <c:pt idx="2">
                    <c:v>-117000</c:v>
                  </c:pt>
                  <c:pt idx="3">
                    <c:v>-278000</c:v>
                  </c:pt>
                  <c:pt idx="4">
                    <c:v>0</c:v>
                  </c:pt>
                  <c:pt idx="5">
                    <c:v>-213000</c:v>
                  </c:pt>
                </c:numCache>
              </c:numRef>
            </c:plus>
            <c:minus>
              <c:numRef>
                <c:f>'Column Chart Pct Var'!$H$5:$H$11</c:f>
                <c:numCache>
                  <c:formatCode>General</c:formatCode>
                  <c:ptCount val="7"/>
                  <c:pt idx="0">
                    <c:v>0</c:v>
                  </c:pt>
                  <c:pt idx="1">
                    <c:v>-445000</c:v>
                  </c:pt>
                  <c:pt idx="2">
                    <c:v>0</c:v>
                  </c:pt>
                  <c:pt idx="3">
                    <c:v>0</c:v>
                  </c:pt>
                  <c:pt idx="4">
                    <c:v>-201000</c:v>
                  </c:pt>
                  <c:pt idx="5">
                    <c:v>0</c:v>
                  </c:pt>
                </c:numCache>
              </c:numRef>
            </c:minus>
            <c:spPr>
              <a:noFill/>
              <a:ln w="12700" cap="flat" cmpd="sng" algn="ctr">
                <a:solidFill>
                  <a:schemeClr val="tx1">
                    <a:lumMod val="50000"/>
                    <a:lumOff val="50000"/>
                  </a:schemeClr>
                </a:solidFill>
                <a:prstDash val="solid"/>
                <a:round/>
                <a:headEnd type="none" w="med" len="med"/>
                <a:tailEnd type="none"/>
              </a:ln>
              <a:effectLst/>
            </c:spPr>
          </c:errBars>
          <c:val>
            <c:numRef>
              <c:f>'Column Chart Pct Var'!$E$5:$E$11</c:f>
              <c:numCache>
                <c:formatCode>_(* #,##0_);_(* \(#,##0\);_(* "-"??_);_(@_)</c:formatCode>
                <c:ptCount val="7"/>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'Column Chart Pct Var'!$I$5:$I$11</c15:f>
                <c15:dlblRangeCache>
                  <c:ptCount val="7"/>
                  <c:pt idx="0">
                    <c:v>+5%</c:v>
                  </c:pt>
                  <c:pt idx="1">
                    <c:v>-55%</c:v>
                  </c:pt>
                  <c:pt idx="2">
                    <c:v>+32%</c:v>
                  </c:pt>
                  <c:pt idx="3">
                    <c:v>+57%</c:v>
                  </c:pt>
                  <c:pt idx="4">
                    <c:v>-26%</c:v>
                  </c:pt>
                  <c:pt idx="5">
                    <c:v>+38%</c:v>
                  </c:pt>
                </c15:dlblRangeCache>
              </c15:datalabelsRange>
            </c:ext>
            <c:ext xmlns:c16="http://schemas.microsoft.com/office/drawing/2014/chart" uri="{C3380CC4-5D6E-409C-BE32-E72D297353CC}">
              <c16:uniqueId val="{00000008-C549-482F-9207-BD8697139520}"/>
            </c:ext>
          </c:extLst>
        </c:ser>
        <c:dLbls>
          <c:showLegendKey val="0"/>
          <c:showVal val="0"/>
          <c:showCatName val="0"/>
          <c:showSerName val="0"/>
          <c:showPercent val="0"/>
          <c:showBubbleSize val="0"/>
        </c:dLbls>
        <c:gapWidth val="0"/>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Example!$D$4</c:f>
              <c:strCache>
                <c:ptCount val="1"/>
                <c:pt idx="0">
                  <c:v>Revenue $K</c:v>
                </c:pt>
              </c:strCache>
            </c:strRef>
          </c:tx>
          <c:spPr>
            <a:solidFill>
              <a:schemeClr val="accent1"/>
            </a:solidFill>
            <a:ln>
              <a:noFill/>
            </a:ln>
            <a:effectLst/>
          </c:spPr>
          <c:invertIfNegative val="0"/>
          <c:cat>
            <c:strRef>
              <c:f>Example!$C$5:$C$11</c:f>
              <c:strCache>
                <c:ptCount val="7"/>
                <c:pt idx="0">
                  <c:v>2011             </c:v>
                </c:pt>
                <c:pt idx="1">
                  <c:v>2012             </c:v>
                </c:pt>
                <c:pt idx="2">
                  <c:v>2013             </c:v>
                </c:pt>
                <c:pt idx="3">
                  <c:v>2014             </c:v>
                </c:pt>
                <c:pt idx="4">
                  <c:v>2015             </c:v>
                </c:pt>
                <c:pt idx="5">
                  <c:v>2016             </c:v>
                </c:pt>
                <c:pt idx="6">
                  <c:v>2017             </c:v>
                </c:pt>
              </c:strCache>
            </c:strRef>
          </c:cat>
          <c:val>
            <c:numRef>
              <c:f>Example!$D$5:$D$11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D24C-4420-9FC9-9A0343660127}"/>
            </c:ext>
          </c:extLst>
        </c:ser>
        <c:ser>
          <c:idx val="1"/>
          <c:order val="1"/>
          <c:tx>
            <c:strRef>
              <c:f>Example!$E$4</c:f>
              <c:strCache>
                <c:ptCount val="1"/>
                <c:pt idx="0">
                  <c:v>Invisible Bar</c:v>
                </c:pt>
              </c:strCache>
            </c:strRef>
          </c:tx>
          <c:spPr>
            <a:noFill/>
            <a:ln>
              <a:noFill/>
            </a:ln>
            <a:effectLst/>
          </c:spPr>
          <c:invertIfNegative val="0"/>
          <c:dLbls>
            <c:dLbl>
              <c:idx val="0"/>
              <c:tx>
                <c:rich>
                  <a:bodyPr/>
                  <a:lstStyle/>
                  <a:p>
                    <a:fld id="{9561DCE7-2474-4AC1-847A-FFF146D9DE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24C-4420-9FC9-9A0343660127}"/>
                </c:ext>
              </c:extLst>
            </c:dLbl>
            <c:dLbl>
              <c:idx val="1"/>
              <c:tx>
                <c:rich>
                  <a:bodyPr/>
                  <a:lstStyle/>
                  <a:p>
                    <a:fld id="{F59ED354-3882-4853-A26A-B3886108C9E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D24C-4420-9FC9-9A0343660127}"/>
                </c:ext>
              </c:extLst>
            </c:dLbl>
            <c:dLbl>
              <c:idx val="2"/>
              <c:tx>
                <c:rich>
                  <a:bodyPr/>
                  <a:lstStyle/>
                  <a:p>
                    <a:fld id="{BA741DBA-7CAF-4FB8-8D8F-1A452AC84E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24C-4420-9FC9-9A0343660127}"/>
                </c:ext>
              </c:extLst>
            </c:dLbl>
            <c:dLbl>
              <c:idx val="3"/>
              <c:tx>
                <c:rich>
                  <a:bodyPr/>
                  <a:lstStyle/>
                  <a:p>
                    <a:fld id="{7F28E9B2-D1B2-416F-BA4A-589471F706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24C-4420-9FC9-9A0343660127}"/>
                </c:ext>
              </c:extLst>
            </c:dLbl>
            <c:dLbl>
              <c:idx val="4"/>
              <c:tx>
                <c:rich>
                  <a:bodyPr/>
                  <a:lstStyle/>
                  <a:p>
                    <a:fld id="{6D66A863-0390-43FE-8189-55872F7E41C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D24C-4420-9FC9-9A0343660127}"/>
                </c:ext>
              </c:extLst>
            </c:dLbl>
            <c:dLbl>
              <c:idx val="5"/>
              <c:tx>
                <c:rich>
                  <a:bodyPr/>
                  <a:lstStyle/>
                  <a:p>
                    <a:fld id="{8852C0EE-0852-4A13-AFED-C84E8642E4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24C-4420-9FC9-9A0343660127}"/>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24C-4420-9FC9-9A03436601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0"/>
            <c:plus>
              <c:numRef>
                <c:f>Example!$G$5:$G$11</c:f>
                <c:numCache>
                  <c:formatCode>General</c:formatCode>
                  <c:ptCount val="7"/>
                  <c:pt idx="0">
                    <c:v>-39000</c:v>
                  </c:pt>
                  <c:pt idx="1">
                    <c:v>0</c:v>
                  </c:pt>
                  <c:pt idx="2">
                    <c:v>-117000</c:v>
                  </c:pt>
                  <c:pt idx="3">
                    <c:v>-278000</c:v>
                  </c:pt>
                  <c:pt idx="4">
                    <c:v>0</c:v>
                  </c:pt>
                  <c:pt idx="5">
                    <c:v>-213000</c:v>
                  </c:pt>
                </c:numCache>
              </c:numRef>
            </c:plus>
            <c:minus>
              <c:numRef>
                <c:f>Example!$H$5:$H$11</c:f>
                <c:numCache>
                  <c:formatCode>General</c:formatCode>
                  <c:ptCount val="7"/>
                  <c:pt idx="0">
                    <c:v>0</c:v>
                  </c:pt>
                  <c:pt idx="1">
                    <c:v>-445000</c:v>
                  </c:pt>
                  <c:pt idx="2">
                    <c:v>0</c:v>
                  </c:pt>
                  <c:pt idx="3">
                    <c:v>0</c:v>
                  </c:pt>
                  <c:pt idx="4">
                    <c:v>-201000</c:v>
                  </c:pt>
                  <c:pt idx="5">
                    <c:v>0</c:v>
                  </c:pt>
                </c:numCache>
              </c:numRef>
            </c:minus>
            <c:spPr>
              <a:noFill/>
              <a:ln w="9525" cap="flat" cmpd="sng" algn="ctr">
                <a:solidFill>
                  <a:schemeClr val="tx1">
                    <a:lumMod val="65000"/>
                    <a:lumOff val="35000"/>
                  </a:schemeClr>
                </a:solidFill>
                <a:round/>
              </a:ln>
              <a:effectLst/>
            </c:spPr>
          </c:errBars>
          <c:cat>
            <c:strRef>
              <c:f>Example!$C$5:$C$11</c:f>
              <c:strCache>
                <c:ptCount val="7"/>
                <c:pt idx="0">
                  <c:v>2011             </c:v>
                </c:pt>
                <c:pt idx="1">
                  <c:v>2012             </c:v>
                </c:pt>
                <c:pt idx="2">
                  <c:v>2013             </c:v>
                </c:pt>
                <c:pt idx="3">
                  <c:v>2014             </c:v>
                </c:pt>
                <c:pt idx="4">
                  <c:v>2015             </c:v>
                </c:pt>
                <c:pt idx="5">
                  <c:v>2016             </c:v>
                </c:pt>
                <c:pt idx="6">
                  <c:v>2017             </c:v>
                </c:pt>
              </c:strCache>
            </c:strRef>
          </c:cat>
          <c:val>
            <c:numRef>
              <c:f>Example!$E$5:$E$11</c:f>
              <c:numCache>
                <c:formatCode>"$"#,##0,\K</c:formatCode>
                <c:ptCount val="7"/>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Example!$I$5:$I$11</c15:f>
                <c15:dlblRangeCache>
                  <c:ptCount val="7"/>
                  <c:pt idx="0">
                    <c:v>+5%</c:v>
                  </c:pt>
                  <c:pt idx="1">
                    <c:v>-55%</c:v>
                  </c:pt>
                  <c:pt idx="2">
                    <c:v>+32%</c:v>
                  </c:pt>
                  <c:pt idx="3">
                    <c:v>+57%</c:v>
                  </c:pt>
                  <c:pt idx="4">
                    <c:v>-26%</c:v>
                  </c:pt>
                  <c:pt idx="5">
                    <c:v>+38%</c:v>
                  </c:pt>
                </c15:dlblRangeCache>
              </c15:datalabelsRange>
            </c:ext>
            <c:ext xmlns:c16="http://schemas.microsoft.com/office/drawing/2014/chart" uri="{C3380CC4-5D6E-409C-BE32-E72D297353CC}">
              <c16:uniqueId val="{00000001-D24C-4420-9FC9-9A0343660127}"/>
            </c:ext>
          </c:extLst>
        </c:ser>
        <c:dLbls>
          <c:showLegendKey val="0"/>
          <c:showVal val="0"/>
          <c:showCatName val="0"/>
          <c:showSerName val="0"/>
          <c:showPercent val="0"/>
          <c:showBubbleSize val="0"/>
        </c:dLbls>
        <c:gapWidth val="0"/>
        <c:axId val="476184896"/>
        <c:axId val="53481264"/>
      </c:ba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Pivot!$E$1</c:f>
          <c:strCache>
            <c:ptCount val="1"/>
            <c:pt idx="0">
              <c:v>Annual Revenue Trend - Region: West</c:v>
            </c:pt>
          </c:strCache>
        </c:strRef>
      </c:tx>
      <c:layout>
        <c:manualLayout>
          <c:xMode val="edge"/>
          <c:yMode val="edge"/>
          <c:x val="2.9127812275498082E-2"/>
          <c:y val="3.67632482495579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'Conditional Format'!$D$4</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Format'!$D$5:$D$11</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F4EE-42A5-A12B-49084930EC47}"/>
            </c:ext>
          </c:extLst>
        </c:ser>
        <c:ser>
          <c:idx val="3"/>
          <c:order val="1"/>
          <c:tx>
            <c:strRef>
              <c:f>'Conditional Format'!$E$4</c:f>
              <c:strCache>
                <c:ptCount val="1"/>
                <c:pt idx="0">
                  <c:v>Invisible Bar</c:v>
                </c:pt>
              </c:strCache>
            </c:strRef>
          </c:tx>
          <c:spPr>
            <a:noFill/>
            <a:ln>
              <a:no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Format'!$E$5:$E$11</c:f>
              <c:numCache>
                <c:formatCode>_(* #,##0_);_(* \(#,##0\);_(* "-"??_);_(@_)</c:formatCode>
                <c:ptCount val="7"/>
                <c:pt idx="0">
                  <c:v>174686</c:v>
                </c:pt>
                <c:pt idx="1">
                  <c:v>195025</c:v>
                </c:pt>
                <c:pt idx="2">
                  <c:v>136122</c:v>
                </c:pt>
                <c:pt idx="3">
                  <c:v>137497</c:v>
                </c:pt>
                <c:pt idx="4">
                  <c:v>169893</c:v>
                </c:pt>
                <c:pt idx="5">
                  <c:v>183016</c:v>
                </c:pt>
              </c:numCache>
            </c:numRef>
          </c:val>
          <c:extLst>
            <c:ext xmlns:c16="http://schemas.microsoft.com/office/drawing/2014/chart" uri="{C3380CC4-5D6E-409C-BE32-E72D297353CC}">
              <c16:uniqueId val="{00000015-F4EE-42A5-A12B-49084930EC47}"/>
            </c:ext>
          </c:extLst>
        </c:ser>
        <c:ser>
          <c:idx val="1"/>
          <c:order val="2"/>
          <c:tx>
            <c:strRef>
              <c:f>'Conditional Format'!$F$4</c:f>
              <c:strCache>
                <c:ptCount val="1"/>
                <c:pt idx="0">
                  <c:v>Invisible Bar +</c:v>
                </c:pt>
              </c:strCache>
            </c:strRef>
          </c:tx>
          <c:spPr>
            <a:noFill/>
            <a:ln>
              <a:noFill/>
            </a:ln>
            <a:effectLst/>
          </c:spPr>
          <c:invertIfNegative val="0"/>
          <c:dLbls>
            <c:dLbl>
              <c:idx val="0"/>
              <c:tx>
                <c:rich>
                  <a:bodyPr/>
                  <a:lstStyle/>
                  <a:p>
                    <a:fld id="{30B6577E-0A48-40F0-90B7-0EAB15EB1D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4EE-42A5-A12B-49084930EC47}"/>
                </c:ext>
              </c:extLst>
            </c:dLbl>
            <c:dLbl>
              <c:idx val="1"/>
              <c:tx>
                <c:rich>
                  <a:bodyPr/>
                  <a:lstStyle/>
                  <a:p>
                    <a:fld id="{BDCEC225-E12B-4318-BEA0-732A47F256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4EE-42A5-A12B-49084930EC47}"/>
                </c:ext>
              </c:extLst>
            </c:dLbl>
            <c:dLbl>
              <c:idx val="2"/>
              <c:tx>
                <c:rich>
                  <a:bodyPr/>
                  <a:lstStyle/>
                  <a:p>
                    <a:fld id="{17CCEF45-5D45-45CE-8C50-D2D9A12599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4EE-42A5-A12B-49084930EC47}"/>
                </c:ext>
              </c:extLst>
            </c:dLbl>
            <c:dLbl>
              <c:idx val="3"/>
              <c:tx>
                <c:rich>
                  <a:bodyPr/>
                  <a:lstStyle/>
                  <a:p>
                    <a:fld id="{83B0FADC-75A4-40EE-98C7-DB0B10C659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4EE-42A5-A12B-49084930EC47}"/>
                </c:ext>
              </c:extLst>
            </c:dLbl>
            <c:dLbl>
              <c:idx val="4"/>
              <c:tx>
                <c:rich>
                  <a:bodyPr/>
                  <a:lstStyle/>
                  <a:p>
                    <a:fld id="{89232BB2-B81D-4914-A8B8-572698A776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4EE-42A5-A12B-49084930EC47}"/>
                </c:ext>
              </c:extLst>
            </c:dLbl>
            <c:dLbl>
              <c:idx val="5"/>
              <c:tx>
                <c:rich>
                  <a:bodyPr/>
                  <a:lstStyle/>
                  <a:p>
                    <a:fld id="{D9684420-A649-4BF6-81CE-DB6FD530CC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4EE-42A5-A12B-49084930EC47}"/>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A7D5-41B1-8F20-C08FD7DAC6F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'Conditional Format'!$I$5:$I$11</c:f>
                <c:numCache>
                  <c:formatCode>General</c:formatCode>
                  <c:ptCount val="7"/>
                  <c:pt idx="0">
                    <c:v>-28322</c:v>
                  </c:pt>
                  <c:pt idx="1">
                    <c:v>-20339</c:v>
                  </c:pt>
                  <c:pt idx="2">
                    <c:v>0</c:v>
                  </c:pt>
                  <c:pt idx="3">
                    <c:v>-1375</c:v>
                  </c:pt>
                  <c:pt idx="4">
                    <c:v>-32396</c:v>
                  </c:pt>
                  <c:pt idx="5">
                    <c:v>-13123</c:v>
                  </c:pt>
                </c:numCache>
              </c:numRef>
            </c:plus>
            <c:minus>
              <c:numRef>
                <c:f>'Conditional Format'!$N$5:$N$11</c:f>
                <c:numCache>
                  <c:formatCode>General</c:formatCode>
                  <c:ptCount val="7"/>
                </c:numCache>
              </c:numRef>
            </c:minus>
            <c:spPr>
              <a:noFill/>
              <a:ln w="15875" cap="flat" cmpd="sng" algn="ctr">
                <a:solidFill>
                  <a:schemeClr val="accent6"/>
                </a:solidFill>
                <a:prstDash val="solid"/>
                <a:round/>
                <a:headEnd type="triangle" w="med" len="med"/>
                <a:tailEnd type="none"/>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Format'!$F$5:$F$11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Format'!$L$5:$L$10</c15:f>
                <c15:dlblRangeCache>
                  <c:ptCount val="6"/>
                  <c:pt idx="0">
                    <c:v>+19%</c:v>
                  </c:pt>
                  <c:pt idx="1">
                    <c:v>+12%</c:v>
                  </c:pt>
                  <c:pt idx="3">
                    <c:v>+1%</c:v>
                  </c:pt>
                  <c:pt idx="4">
                    <c:v>+24%</c:v>
                  </c:pt>
                  <c:pt idx="5">
                    <c:v>+8%</c:v>
                  </c:pt>
                </c15:dlblRangeCache>
              </c15:datalabelsRange>
            </c:ext>
            <c:ext xmlns:c16="http://schemas.microsoft.com/office/drawing/2014/chart" uri="{C3380CC4-5D6E-409C-BE32-E72D297353CC}">
              <c16:uniqueId val="{00000008-F4EE-42A5-A12B-49084930EC47}"/>
            </c:ext>
          </c:extLst>
        </c:ser>
        <c:ser>
          <c:idx val="2"/>
          <c:order val="3"/>
          <c:tx>
            <c:strRef>
              <c:f>'Conditional Format'!$G$4</c:f>
              <c:strCache>
                <c:ptCount val="1"/>
                <c:pt idx="0">
                  <c:v>Invisible Bar -</c:v>
                </c:pt>
              </c:strCache>
            </c:strRef>
          </c:tx>
          <c:spPr>
            <a:noFill/>
            <a:ln>
              <a:noFill/>
            </a:ln>
            <a:effectLst/>
          </c:spPr>
          <c:invertIfNegative val="0"/>
          <c:dLbls>
            <c:dLbl>
              <c:idx val="0"/>
              <c:tx>
                <c:rich>
                  <a:bodyPr/>
                  <a:lstStyle/>
                  <a:p>
                    <a:fld id="{7620A26C-4F79-4A35-9190-1893FA8E462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F4EE-42A5-A12B-49084930EC47}"/>
                </c:ext>
              </c:extLst>
            </c:dLbl>
            <c:dLbl>
              <c:idx val="1"/>
              <c:tx>
                <c:rich>
                  <a:bodyPr/>
                  <a:lstStyle/>
                  <a:p>
                    <a:fld id="{A18796B3-9129-4E34-81C1-18E4E30FA7A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4EE-42A5-A12B-49084930EC47}"/>
                </c:ext>
              </c:extLst>
            </c:dLbl>
            <c:dLbl>
              <c:idx val="2"/>
              <c:tx>
                <c:rich>
                  <a:bodyPr/>
                  <a:lstStyle/>
                  <a:p>
                    <a:fld id="{AB7D35A7-F806-4FA3-813B-4D40E19B1D60}"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4EE-42A5-A12B-49084930EC47}"/>
                </c:ext>
              </c:extLst>
            </c:dLbl>
            <c:dLbl>
              <c:idx val="3"/>
              <c:tx>
                <c:rich>
                  <a:bodyPr/>
                  <a:lstStyle/>
                  <a:p>
                    <a:fld id="{816405F2-D910-4C86-8205-07A8E7354A5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4EE-42A5-A12B-49084930EC47}"/>
                </c:ext>
              </c:extLst>
            </c:dLbl>
            <c:dLbl>
              <c:idx val="4"/>
              <c:tx>
                <c:rich>
                  <a:bodyPr/>
                  <a:lstStyle/>
                  <a:p>
                    <a:fld id="{7ED1CB5F-B9D7-4C71-99E6-958F45EA6D4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4EE-42A5-A12B-49084930EC47}"/>
                </c:ext>
              </c:extLst>
            </c:dLbl>
            <c:dLbl>
              <c:idx val="5"/>
              <c:tx>
                <c:rich>
                  <a:bodyPr/>
                  <a:lstStyle/>
                  <a:p>
                    <a:fld id="{B172F84F-0158-4407-AB6F-E488D261E42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4EE-42A5-A12B-49084930EC47}"/>
                </c:ext>
              </c:extLst>
            </c:dLbl>
            <c:dLbl>
              <c:idx val="6"/>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7D5-41B1-8F20-C08FD7DAC6F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C00000"/>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1"/>
            <c:plus>
              <c:numRef>
                <c:f>'Conditional Format'!$N$5:$N$11</c:f>
                <c:numCache>
                  <c:formatCode>General</c:formatCode>
                  <c:ptCount val="7"/>
                </c:numCache>
              </c:numRef>
            </c:plus>
            <c:minus>
              <c:numRef>
                <c:f>'Conditional Format'!$J$5:$J$11</c:f>
                <c:numCache>
                  <c:formatCode>General</c:formatCode>
                  <c:ptCount val="7"/>
                  <c:pt idx="0">
                    <c:v>0</c:v>
                  </c:pt>
                  <c:pt idx="1">
                    <c:v>0</c:v>
                  </c:pt>
                  <c:pt idx="2">
                    <c:v>-58903</c:v>
                  </c:pt>
                  <c:pt idx="3">
                    <c:v>0</c:v>
                  </c:pt>
                  <c:pt idx="4">
                    <c:v>0</c:v>
                  </c:pt>
                  <c:pt idx="5">
                    <c:v>0</c:v>
                  </c:pt>
                </c:numCache>
              </c:numRef>
            </c:minus>
            <c:spPr>
              <a:noFill/>
              <a:ln w="15875" cap="sq" cmpd="sng" algn="ctr">
                <a:solidFill>
                  <a:srgbClr val="C00000"/>
                </a:solidFill>
                <a:round/>
                <a:headEnd type="triangle"/>
                <a:tailEnd type="none" w="med" len="med"/>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Format'!$G$5:$G$11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Format'!$M$5:$M$10</c15:f>
                <c15:dlblRangeCache>
                  <c:ptCount val="6"/>
                  <c:pt idx="2">
                    <c:v>-30%</c:v>
                  </c:pt>
                </c15:dlblRangeCache>
              </c15:datalabelsRange>
            </c:ext>
            <c:ext xmlns:c16="http://schemas.microsoft.com/office/drawing/2014/chart" uri="{C3380CC4-5D6E-409C-BE32-E72D297353CC}">
              <c16:uniqueId val="{00000010-F4EE-42A5-A12B-49084930EC47}"/>
            </c:ext>
          </c:extLst>
        </c:ser>
        <c:dLbls>
          <c:showLegendKey val="0"/>
          <c:showVal val="0"/>
          <c:showCatName val="0"/>
          <c:showSerName val="0"/>
          <c:showPercent val="0"/>
          <c:showBubbleSize val="0"/>
        </c:dLbls>
        <c:gapWidth val="19"/>
        <c:overlap val="53"/>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'Macro - Wayne'!$A$1</c:f>
          <c:strCache>
            <c:ptCount val="1"/>
            <c:pt idx="0">
              <c:v>Column Chart with Percentage Change - Wayne Edmondson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'Macro - Wayne'!$D$7</c:f>
              <c:strCache>
                <c:ptCount val="1"/>
                <c:pt idx="0">
                  <c:v>Revenue $K</c:v>
                </c:pt>
              </c:strCache>
            </c:strRef>
          </c:tx>
          <c:spPr>
            <a:solidFill>
              <a:schemeClr val="accent1"/>
            </a:solidFill>
            <a:ln>
              <a:noFill/>
            </a:ln>
            <a:effectLst/>
          </c:spPr>
          <c:invertIfNegative val="0"/>
          <c:cat>
            <c:strRef>
              <c:f>'Macro - Wayne'!$C$8:$C$14</c:f>
              <c:strCache>
                <c:ptCount val="7"/>
                <c:pt idx="0">
                  <c:v>2011               </c:v>
                </c:pt>
                <c:pt idx="1">
                  <c:v>2012               </c:v>
                </c:pt>
                <c:pt idx="2">
                  <c:v>2013               </c:v>
                </c:pt>
                <c:pt idx="3">
                  <c:v>2014               </c:v>
                </c:pt>
                <c:pt idx="4">
                  <c:v>2015               </c:v>
                </c:pt>
                <c:pt idx="5">
                  <c:v>2016               </c:v>
                </c:pt>
                <c:pt idx="6">
                  <c:v>2017               </c:v>
                </c:pt>
              </c:strCache>
            </c:strRef>
          </c:cat>
          <c:val>
            <c:numRef>
              <c:f>'Macro - Wayne'!$D$8:$D$14</c:f>
              <c:numCache>
                <c:formatCode>"$"#,##0,\K</c:formatCode>
                <c:ptCount val="7"/>
                <c:pt idx="0">
                  <c:v>643362</c:v>
                </c:pt>
                <c:pt idx="1">
                  <c:v>930614</c:v>
                </c:pt>
                <c:pt idx="2">
                  <c:v>168594</c:v>
                </c:pt>
                <c:pt idx="3">
                  <c:v>595904</c:v>
                </c:pt>
                <c:pt idx="4">
                  <c:v>336568</c:v>
                </c:pt>
                <c:pt idx="5">
                  <c:v>610004</c:v>
                </c:pt>
                <c:pt idx="6">
                  <c:v>667961</c:v>
                </c:pt>
              </c:numCache>
            </c:numRef>
          </c:val>
          <c:extLst>
            <c:ext xmlns:c16="http://schemas.microsoft.com/office/drawing/2014/chart" uri="{C3380CC4-5D6E-409C-BE32-E72D297353CC}">
              <c16:uniqueId val="{00000000-E355-474F-8D82-B009691DBA54}"/>
            </c:ext>
          </c:extLst>
        </c:ser>
        <c:ser>
          <c:idx val="1"/>
          <c:order val="1"/>
          <c:tx>
            <c:strRef>
              <c:f>'Macro - Wayne'!$E$7</c:f>
              <c:strCache>
                <c:ptCount val="1"/>
                <c:pt idx="0">
                  <c:v>Invisible Bar</c:v>
                </c:pt>
              </c:strCache>
            </c:strRef>
          </c:tx>
          <c:spPr>
            <a:noFill/>
            <a:ln>
              <a:noFill/>
            </a:ln>
            <a:effectLst/>
          </c:spPr>
          <c:invertIfNegative val="0"/>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E9DC1F62-0FC6-452A-B7FE-BB64BB47CB06}"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55-474F-8D82-B009691DBA54}"/>
                </c:ext>
              </c:extLst>
            </c:dLbl>
            <c:dLbl>
              <c:idx val="1"/>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F8BAA025-3A03-4FDA-945E-034A31964A8F}"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355-474F-8D82-B009691DBA54}"/>
                </c:ext>
              </c:extLst>
            </c:dLbl>
            <c:dLbl>
              <c:idx val="2"/>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0BEAF922-92E7-4EA0-8078-3797821A317D}"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355-474F-8D82-B009691DBA54}"/>
                </c:ext>
              </c:extLst>
            </c:dLbl>
            <c:dLbl>
              <c:idx val="3"/>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09C89A76-8916-48AF-B97C-6D9F5DB28908}"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355-474F-8D82-B009691DBA54}"/>
                </c:ext>
              </c:extLst>
            </c:dLbl>
            <c:dLbl>
              <c:idx val="4"/>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6533CC86-1B9B-4976-B76C-918BFF98F533}"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355-474F-8D82-B009691DBA54}"/>
                </c:ext>
              </c:extLst>
            </c:dLbl>
            <c:dLbl>
              <c:idx val="5"/>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3564BFE9-D120-4EED-9DC9-CF5143692A0A}"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355-474F-8D82-B009691DBA54}"/>
                </c:ext>
              </c:extLst>
            </c:dLbl>
            <c:dLbl>
              <c:idx val="6"/>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solidFill>
                        <a:srgbClr val="33CC33"/>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E355-474F-8D82-B009691DBA5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'Macro - Wayne'!$G$8:$G$14</c:f>
                <c:numCache>
                  <c:formatCode>General</c:formatCode>
                  <c:ptCount val="7"/>
                  <c:pt idx="0">
                    <c:v>-287252</c:v>
                  </c:pt>
                  <c:pt idx="1">
                    <c:v>0</c:v>
                  </c:pt>
                  <c:pt idx="2">
                    <c:v>-427310</c:v>
                  </c:pt>
                  <c:pt idx="3">
                    <c:v>0</c:v>
                  </c:pt>
                  <c:pt idx="4">
                    <c:v>-273436</c:v>
                  </c:pt>
                  <c:pt idx="5">
                    <c:v>-57957</c:v>
                  </c:pt>
                </c:numCache>
              </c:numRef>
            </c:plus>
            <c:minus>
              <c:numRef>
                <c:f>'Macro - Wayne'!$H$8:$H$14</c:f>
                <c:numCache>
                  <c:formatCode>General</c:formatCode>
                  <c:ptCount val="7"/>
                  <c:pt idx="0">
                    <c:v>0</c:v>
                  </c:pt>
                  <c:pt idx="1">
                    <c:v>-762020</c:v>
                  </c:pt>
                  <c:pt idx="2">
                    <c:v>0</c:v>
                  </c:pt>
                  <c:pt idx="3">
                    <c:v>-259336</c:v>
                  </c:pt>
                  <c:pt idx="4">
                    <c:v>0</c:v>
                  </c:pt>
                  <c:pt idx="5">
                    <c:v>0</c:v>
                  </c:pt>
                </c:numCache>
              </c:numRef>
            </c:minus>
            <c:spPr>
              <a:noFill/>
              <a:ln w="15875" cap="flat" cmpd="sng" algn="ctr">
                <a:solidFill>
                  <a:schemeClr val="tx1">
                    <a:lumMod val="65000"/>
                    <a:lumOff val="35000"/>
                  </a:schemeClr>
                </a:solidFill>
                <a:round/>
                <a:headEnd type="triangle"/>
              </a:ln>
              <a:effectLst/>
            </c:spPr>
          </c:errBars>
          <c:cat>
            <c:strRef>
              <c:f>'Macro - Wayne'!$C$8:$C$14</c:f>
              <c:strCache>
                <c:ptCount val="7"/>
                <c:pt idx="0">
                  <c:v>2011               </c:v>
                </c:pt>
                <c:pt idx="1">
                  <c:v>2012               </c:v>
                </c:pt>
                <c:pt idx="2">
                  <c:v>2013               </c:v>
                </c:pt>
                <c:pt idx="3">
                  <c:v>2014               </c:v>
                </c:pt>
                <c:pt idx="4">
                  <c:v>2015               </c:v>
                </c:pt>
                <c:pt idx="5">
                  <c:v>2016               </c:v>
                </c:pt>
                <c:pt idx="6">
                  <c:v>2017               </c:v>
                </c:pt>
              </c:strCache>
            </c:strRef>
          </c:cat>
          <c:val>
            <c:numRef>
              <c:f>'Macro - Wayne'!$E$8:$E$14</c:f>
              <c:numCache>
                <c:formatCode>"$"#,##0,\K</c:formatCode>
                <c:ptCount val="7"/>
                <c:pt idx="0">
                  <c:v>930614</c:v>
                </c:pt>
                <c:pt idx="1">
                  <c:v>168594</c:v>
                </c:pt>
                <c:pt idx="2">
                  <c:v>595904</c:v>
                </c:pt>
                <c:pt idx="3">
                  <c:v>336568</c:v>
                </c:pt>
                <c:pt idx="4">
                  <c:v>610004</c:v>
                </c:pt>
                <c:pt idx="5">
                  <c:v>667961</c:v>
                </c:pt>
              </c:numCache>
            </c:numRef>
          </c:val>
          <c:extLst>
            <c:ext xmlns:c15="http://schemas.microsoft.com/office/drawing/2012/chart" uri="{02D57815-91ED-43cb-92C2-25804820EDAC}">
              <c15:datalabelsRange>
                <c15:f>'Macro - Wayne'!$I$8:$I$14</c15:f>
                <c15:dlblRangeCache>
                  <c:ptCount val="7"/>
                  <c:pt idx="0">
                    <c:v>+45%</c:v>
                  </c:pt>
                  <c:pt idx="1">
                    <c:v>-82%</c:v>
                  </c:pt>
                  <c:pt idx="2">
                    <c:v>+253%</c:v>
                  </c:pt>
                  <c:pt idx="3">
                    <c:v>-44%</c:v>
                  </c:pt>
                  <c:pt idx="4">
                    <c:v>+81%</c:v>
                  </c:pt>
                  <c:pt idx="5">
                    <c:v>+10%</c:v>
                  </c:pt>
                </c15:dlblRangeCache>
              </c15:datalabelsRange>
            </c:ext>
            <c:ext xmlns:c16="http://schemas.microsoft.com/office/drawing/2014/chart" uri="{C3380CC4-5D6E-409C-BE32-E72D297353CC}">
              <c16:uniqueId val="{00000008-E355-474F-8D82-B009691DBA54}"/>
            </c:ext>
          </c:extLst>
        </c:ser>
        <c:dLbls>
          <c:showLegendKey val="0"/>
          <c:showVal val="0"/>
          <c:showCatName val="0"/>
          <c:showSerName val="0"/>
          <c:showPercent val="0"/>
          <c:showBubbleSize val="0"/>
        </c:dLbls>
        <c:gapWidth val="0"/>
        <c:axId val="476184896"/>
        <c:axId val="53481264"/>
      </c:ba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Combo Chart with XY Scatter Plot - Jon Peltier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'Combo XY - Peltier'!$D$8</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'Combo XY - Peltier'!$C$9:$C$15</c:f>
              <c:strCache>
                <c:ptCount val="7"/>
                <c:pt idx="0">
                  <c:v>2011             </c:v>
                </c:pt>
                <c:pt idx="1">
                  <c:v>2012             </c:v>
                </c:pt>
                <c:pt idx="2">
                  <c:v>2013             </c:v>
                </c:pt>
                <c:pt idx="3">
                  <c:v>2014             </c:v>
                </c:pt>
                <c:pt idx="4">
                  <c:v>2015             </c:v>
                </c:pt>
                <c:pt idx="5">
                  <c:v>2016             </c:v>
                </c:pt>
                <c:pt idx="6">
                  <c:v>2017             </c:v>
                </c:pt>
              </c:strCache>
            </c:strRef>
          </c:cat>
          <c:val>
            <c:numRef>
              <c:f>'Combo XY - Peltier'!$D$9:$D$15</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EAAC-4F6B-9A5E-1AF66E7393EF}"/>
            </c:ext>
          </c:extLst>
        </c:ser>
        <c:dLbls>
          <c:showLegendKey val="0"/>
          <c:showVal val="0"/>
          <c:showCatName val="0"/>
          <c:showSerName val="0"/>
          <c:showPercent val="0"/>
          <c:showBubbleSize val="0"/>
        </c:dLbls>
        <c:gapWidth val="100"/>
        <c:axId val="476184896"/>
        <c:axId val="53481264"/>
      </c:barChart>
      <c:scatterChart>
        <c:scatterStyle val="lineMarker"/>
        <c:varyColors val="0"/>
        <c:ser>
          <c:idx val="1"/>
          <c:order val="1"/>
          <c:tx>
            <c:strRef>
              <c:f>'Combo XY - Peltier'!$H$8</c:f>
              <c:strCache>
                <c:ptCount val="1"/>
                <c:pt idx="0">
                  <c:v>Increase</c:v>
                </c:pt>
              </c:strCache>
            </c:strRef>
          </c:tx>
          <c:spPr>
            <a:ln w="25400" cap="rnd">
              <a:noFill/>
              <a:round/>
            </a:ln>
            <a:effectLst/>
          </c:spPr>
          <c:marker>
            <c:symbol val="none"/>
          </c:marker>
          <c:dLbls>
            <c:dLbl>
              <c:idx val="0"/>
              <c:tx>
                <c:rich>
                  <a:bodyPr/>
                  <a:lstStyle/>
                  <a:p>
                    <a:fld id="{6E6C22B6-971D-4CD8-9E70-9774571AB5C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BE7-4EB8-A1CD-24185ABEF989}"/>
                </c:ext>
              </c:extLst>
            </c:dLbl>
            <c:dLbl>
              <c:idx val="1"/>
              <c:tx>
                <c:rich>
                  <a:bodyPr/>
                  <a:lstStyle/>
                  <a:p>
                    <a:fld id="{5325CED3-5312-493E-832E-3168B4C93FF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BE7-4EB8-A1CD-24185ABEF989}"/>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E7-4EB8-A1CD-24185ABEF989}"/>
                </c:ext>
              </c:extLst>
            </c:dLbl>
            <c:dLbl>
              <c:idx val="3"/>
              <c:tx>
                <c:rich>
                  <a:bodyPr/>
                  <a:lstStyle/>
                  <a:p>
                    <a:fld id="{1AF5FE14-FF8E-4324-8D8A-BE94DEF780A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BE7-4EB8-A1CD-24185ABEF989}"/>
                </c:ext>
              </c:extLst>
            </c:dLbl>
            <c:dLbl>
              <c:idx val="4"/>
              <c:tx>
                <c:rich>
                  <a:bodyPr/>
                  <a:lstStyle/>
                  <a:p>
                    <a:fld id="{33EC30D9-06D9-416D-BD7E-293C78DCEFA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BE7-4EB8-A1CD-24185ABEF989}"/>
                </c:ext>
              </c:extLst>
            </c:dLbl>
            <c:dLbl>
              <c:idx val="5"/>
              <c:tx>
                <c:rich>
                  <a:bodyPr/>
                  <a:lstStyle/>
                  <a:p>
                    <a:fld id="{B2B965A8-C2C9-4B2E-B80C-7E82791C152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BE7-4EB8-A1CD-24185ABEF98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 Peltier'!$E$9:$E$14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chemeClr val="accent6"/>
                </a:solidFill>
                <a:round/>
                <a:headEnd type="triangle"/>
              </a:ln>
              <a:effectLst/>
            </c:spPr>
          </c:errBars>
          <c:xVal>
            <c:numRef>
              <c:f>'Combo XY - Peltier'!$G$9:$G$14</c:f>
              <c:numCache>
                <c:formatCode>General</c:formatCode>
                <c:ptCount val="6"/>
                <c:pt idx="0">
                  <c:v>1.5</c:v>
                </c:pt>
                <c:pt idx="1">
                  <c:v>2.5</c:v>
                </c:pt>
                <c:pt idx="2">
                  <c:v>3.5</c:v>
                </c:pt>
                <c:pt idx="3">
                  <c:v>4.5</c:v>
                </c:pt>
                <c:pt idx="4">
                  <c:v>5.5</c:v>
                </c:pt>
                <c:pt idx="5">
                  <c:v>6.5</c:v>
                </c:pt>
              </c:numCache>
            </c:numRef>
          </c:xVal>
          <c:yVal>
            <c:numRef>
              <c:f>'Combo XY - Peltier'!$H$9:$H$14</c:f>
              <c:numCache>
                <c:formatCode>"$"#,##0,\K</c:formatCode>
                <c:ptCount val="6"/>
                <c:pt idx="0">
                  <c:v>174686</c:v>
                </c:pt>
                <c:pt idx="1">
                  <c:v>195025</c:v>
                </c:pt>
                <c:pt idx="2">
                  <c:v>#N/A</c:v>
                </c:pt>
                <c:pt idx="3">
                  <c:v>137497</c:v>
                </c:pt>
                <c:pt idx="4">
                  <c:v>169893</c:v>
                </c:pt>
                <c:pt idx="5">
                  <c:v>183016</c:v>
                </c:pt>
              </c:numCache>
            </c:numRef>
          </c:yVal>
          <c:smooth val="0"/>
          <c:extLst>
            <c:ext xmlns:c15="http://schemas.microsoft.com/office/drawing/2012/chart" uri="{02D57815-91ED-43cb-92C2-25804820EDAC}">
              <c15:datalabelsRange>
                <c15:f>'Combo XY - Peltier'!$F$9:$F$14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0-DBE7-4EB8-A1CD-24185ABEF989}"/>
            </c:ext>
          </c:extLst>
        </c:ser>
        <c:ser>
          <c:idx val="2"/>
          <c:order val="2"/>
          <c:tx>
            <c:strRef>
              <c:f>'Combo XY - Peltier'!$I$8</c:f>
              <c:strCache>
                <c:ptCount val="1"/>
                <c:pt idx="0">
                  <c:v>Deacrease</c:v>
                </c:pt>
              </c:strCache>
            </c:strRef>
          </c:tx>
          <c:spPr>
            <a:ln w="25400" cap="rnd">
              <a:noFill/>
              <a:round/>
            </a:ln>
            <a:effectLst/>
          </c:spPr>
          <c:marker>
            <c:symbol val="none"/>
          </c:marker>
          <c:dLbls>
            <c:dLbl>
              <c:idx val="0"/>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BE7-4EB8-A1CD-24185ABEF989}"/>
                </c:ext>
              </c:extLst>
            </c:dLbl>
            <c:dLbl>
              <c:idx val="1"/>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BE7-4EB8-A1CD-24185ABEF989}"/>
                </c:ext>
              </c:extLst>
            </c:dLbl>
            <c:dLbl>
              <c:idx val="2"/>
              <c:tx>
                <c:rich>
                  <a:bodyPr/>
                  <a:lstStyle/>
                  <a:p>
                    <a:fld id="{C365AF3E-4EB5-4EE9-8BE1-3FC611475E02}"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BE7-4EB8-A1CD-24185ABEF989}"/>
                </c:ext>
              </c:extLst>
            </c:dLbl>
            <c:dLbl>
              <c:idx val="3"/>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BE7-4EB8-A1CD-24185ABEF989}"/>
                </c:ext>
              </c:extLst>
            </c:dLbl>
            <c:dLbl>
              <c:idx val="4"/>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BE7-4EB8-A1CD-24185ABEF989}"/>
                </c:ext>
              </c:extLst>
            </c:dLbl>
            <c:dLbl>
              <c:idx val="5"/>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DBE7-4EB8-A1CD-24185ABEF98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 Peltier'!$E$9:$E$14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rgbClr val="C00000"/>
                </a:solidFill>
                <a:round/>
                <a:headEnd type="triangle"/>
              </a:ln>
              <a:effectLst/>
            </c:spPr>
          </c:errBars>
          <c:xVal>
            <c:numRef>
              <c:f>'Combo XY - Peltier'!$G$9:$G$14</c:f>
              <c:numCache>
                <c:formatCode>General</c:formatCode>
                <c:ptCount val="6"/>
                <c:pt idx="0">
                  <c:v>1.5</c:v>
                </c:pt>
                <c:pt idx="1">
                  <c:v>2.5</c:v>
                </c:pt>
                <c:pt idx="2">
                  <c:v>3.5</c:v>
                </c:pt>
                <c:pt idx="3">
                  <c:v>4.5</c:v>
                </c:pt>
                <c:pt idx="4">
                  <c:v>5.5</c:v>
                </c:pt>
                <c:pt idx="5">
                  <c:v>6.5</c:v>
                </c:pt>
              </c:numCache>
            </c:numRef>
          </c:xVal>
          <c:yVal>
            <c:numRef>
              <c:f>'Combo XY - Peltier'!$I$9:$I$14</c:f>
              <c:numCache>
                <c:formatCode>"$"#,##0,\K</c:formatCode>
                <c:ptCount val="6"/>
                <c:pt idx="0">
                  <c:v>#N/A</c:v>
                </c:pt>
                <c:pt idx="1">
                  <c:v>#N/A</c:v>
                </c:pt>
                <c:pt idx="2">
                  <c:v>136122</c:v>
                </c:pt>
                <c:pt idx="3">
                  <c:v>#N/A</c:v>
                </c:pt>
                <c:pt idx="4">
                  <c:v>#N/A</c:v>
                </c:pt>
                <c:pt idx="5">
                  <c:v>#N/A</c:v>
                </c:pt>
              </c:numCache>
            </c:numRef>
          </c:yVal>
          <c:smooth val="0"/>
          <c:extLst>
            <c:ext xmlns:c15="http://schemas.microsoft.com/office/drawing/2012/chart" uri="{02D57815-91ED-43cb-92C2-25804820EDAC}">
              <c15:datalabelsRange>
                <c15:f>'Combo XY - Peltier'!$F$9:$F$14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1-DBE7-4EB8-A1CD-24185ABEF989}"/>
            </c:ext>
          </c:extLst>
        </c:ser>
        <c:dLbls>
          <c:showLegendKey val="0"/>
          <c:showVal val="0"/>
          <c:showCatName val="0"/>
          <c:showSerName val="0"/>
          <c:showPercent val="0"/>
          <c:showBubbleSize val="0"/>
        </c:dLbls>
        <c:axId val="476184896"/>
        <c:axId val="53481264"/>
      </c:scatte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'Column Chart Pct Var'!$D$4</c:f>
              <c:strCache>
                <c:ptCount val="1"/>
                <c:pt idx="0">
                  <c:v>Revenue $K</c:v>
                </c:pt>
              </c:strCache>
            </c:strRef>
          </c:tx>
          <c:spPr>
            <a:solidFill>
              <a:schemeClr val="bg1">
                <a:lumMod val="50000"/>
              </a:schemeClr>
            </a:solidFill>
            <a:ln>
              <a:solidFill>
                <a:schemeClr val="bg1">
                  <a:lumMod val="50000"/>
                </a:schemeClr>
              </a:solidFill>
            </a:ln>
            <a:effectLst/>
          </c:spPr>
          <c:invertIfNegative val="0"/>
          <c:cat>
            <c:strRef>
              <c:f>'Column Chart Pct Var'!$C$5:$C$11</c:f>
              <c:strCache>
                <c:ptCount val="7"/>
                <c:pt idx="0">
                  <c:v>2011             </c:v>
                </c:pt>
                <c:pt idx="1">
                  <c:v>2012             </c:v>
                </c:pt>
                <c:pt idx="2">
                  <c:v>2013             </c:v>
                </c:pt>
                <c:pt idx="3">
                  <c:v>2014             </c:v>
                </c:pt>
                <c:pt idx="4">
                  <c:v>2015             </c:v>
                </c:pt>
                <c:pt idx="5">
                  <c:v>2016             </c:v>
                </c:pt>
                <c:pt idx="6">
                  <c:v>2017             </c:v>
                </c:pt>
              </c:strCache>
            </c:strRef>
          </c:cat>
          <c:val>
            <c:numRef>
              <c:f>'Column Chart Pct Var'!$D$5:$D$11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B55B-4F9C-9857-3353F50FC600}"/>
            </c:ext>
          </c:extLst>
        </c:ser>
        <c:ser>
          <c:idx val="1"/>
          <c:order val="1"/>
          <c:tx>
            <c:strRef>
              <c:f>'Column Chart Pct Var'!$E$4</c:f>
              <c:strCache>
                <c:ptCount val="1"/>
                <c:pt idx="0">
                  <c:v>Invisible Bar</c:v>
                </c:pt>
              </c:strCache>
            </c:strRef>
          </c:tx>
          <c:spPr>
            <a:noFill/>
            <a:ln>
              <a:noFill/>
            </a:ln>
            <a:effectLst/>
          </c:spPr>
          <c:invertIfNegative val="0"/>
          <c:dLbls>
            <c:dLbl>
              <c:idx val="0"/>
              <c:tx>
                <c:rich>
                  <a:bodyPr/>
                  <a:lstStyle/>
                  <a:p>
                    <a:fld id="{8736C639-1676-469E-83BD-4A932F548EE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5B-4F9C-9857-3353F50FC600}"/>
                </c:ext>
              </c:extLst>
            </c:dLbl>
            <c:dLbl>
              <c:idx val="1"/>
              <c:tx>
                <c:rich>
                  <a:bodyPr/>
                  <a:lstStyle/>
                  <a:p>
                    <a:fld id="{4BECB553-6974-414C-81E9-60A0E6EC32AA}"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55B-4F9C-9857-3353F50FC600}"/>
                </c:ext>
              </c:extLst>
            </c:dLbl>
            <c:dLbl>
              <c:idx val="2"/>
              <c:tx>
                <c:rich>
                  <a:bodyPr/>
                  <a:lstStyle/>
                  <a:p>
                    <a:fld id="{69F02A21-31CB-46A8-8CC0-30B2687DBB6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5B-4F9C-9857-3353F50FC600}"/>
                </c:ext>
              </c:extLst>
            </c:dLbl>
            <c:dLbl>
              <c:idx val="3"/>
              <c:tx>
                <c:rich>
                  <a:bodyPr/>
                  <a:lstStyle/>
                  <a:p>
                    <a:fld id="{CE0E8CC3-4DD9-48F2-91C7-AEF698922A5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5B-4F9C-9857-3353F50FC600}"/>
                </c:ext>
              </c:extLst>
            </c:dLbl>
            <c:dLbl>
              <c:idx val="4"/>
              <c:tx>
                <c:rich>
                  <a:bodyPr/>
                  <a:lstStyle/>
                  <a:p>
                    <a:fld id="{2FCDEDAB-39DC-4EAF-B9BF-73D10FDC5F5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55B-4F9C-9857-3353F50FC600}"/>
                </c:ext>
              </c:extLst>
            </c:dLbl>
            <c:dLbl>
              <c:idx val="5"/>
              <c:tx>
                <c:rich>
                  <a:bodyPr/>
                  <a:lstStyle/>
                  <a:p>
                    <a:fld id="{2F9C2281-8811-483F-A8A8-DC83DA90457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55B-4F9C-9857-3353F50FC600}"/>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55B-4F9C-9857-3353F50FC600}"/>
                </c:ext>
              </c:extLst>
            </c:dLbl>
            <c:spPr>
              <a:solidFill>
                <a:schemeClr val="bg1"/>
              </a:solid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0"/>
            <c:plus>
              <c:numRef>
                <c:f>'Column Chart Pct Var'!$G$5:$G$11</c:f>
                <c:numCache>
                  <c:formatCode>General</c:formatCode>
                  <c:ptCount val="7"/>
                  <c:pt idx="0">
                    <c:v>-39000</c:v>
                  </c:pt>
                  <c:pt idx="1">
                    <c:v>0</c:v>
                  </c:pt>
                  <c:pt idx="2">
                    <c:v>-117000</c:v>
                  </c:pt>
                  <c:pt idx="3">
                    <c:v>-278000</c:v>
                  </c:pt>
                  <c:pt idx="4">
                    <c:v>0</c:v>
                  </c:pt>
                  <c:pt idx="5">
                    <c:v>-213000</c:v>
                  </c:pt>
                </c:numCache>
              </c:numRef>
            </c:plus>
            <c:minus>
              <c:numRef>
                <c:f>'Column Chart Pct Var'!$H$5:$H$11</c:f>
                <c:numCache>
                  <c:formatCode>General</c:formatCode>
                  <c:ptCount val="7"/>
                  <c:pt idx="0">
                    <c:v>0</c:v>
                  </c:pt>
                  <c:pt idx="1">
                    <c:v>-445000</c:v>
                  </c:pt>
                  <c:pt idx="2">
                    <c:v>0</c:v>
                  </c:pt>
                  <c:pt idx="3">
                    <c:v>0</c:v>
                  </c:pt>
                  <c:pt idx="4">
                    <c:v>-201000</c:v>
                  </c:pt>
                  <c:pt idx="5">
                    <c:v>0</c:v>
                  </c:pt>
                </c:numCache>
              </c:numRef>
            </c:minus>
            <c:spPr>
              <a:noFill/>
              <a:ln w="12700" cap="flat" cmpd="sng" algn="ctr">
                <a:solidFill>
                  <a:schemeClr val="tx1">
                    <a:lumMod val="50000"/>
                    <a:lumOff val="50000"/>
                  </a:schemeClr>
                </a:solidFill>
                <a:prstDash val="solid"/>
                <a:round/>
                <a:headEnd type="none" w="med" len="med"/>
                <a:tailEnd type="none"/>
              </a:ln>
              <a:effectLst/>
            </c:spPr>
          </c:errBars>
          <c:val>
            <c:numRef>
              <c:f>'Column Chart Pct Var'!$E$5:$E$11</c:f>
              <c:numCache>
                <c:formatCode>_(* #,##0_);_(* \(#,##0\);_(* "-"??_);_(@_)</c:formatCode>
                <c:ptCount val="7"/>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'Column Chart Pct Var'!$I$5:$I$11</c15:f>
                <c15:dlblRangeCache>
                  <c:ptCount val="7"/>
                  <c:pt idx="0">
                    <c:v>+5%</c:v>
                  </c:pt>
                  <c:pt idx="1">
                    <c:v>-55%</c:v>
                  </c:pt>
                  <c:pt idx="2">
                    <c:v>+32%</c:v>
                  </c:pt>
                  <c:pt idx="3">
                    <c:v>+57%</c:v>
                  </c:pt>
                  <c:pt idx="4">
                    <c:v>-26%</c:v>
                  </c:pt>
                  <c:pt idx="5">
                    <c:v>+38%</c:v>
                  </c:pt>
                </c15:dlblRangeCache>
              </c15:datalabelsRange>
            </c:ext>
            <c:ext xmlns:c16="http://schemas.microsoft.com/office/drawing/2014/chart" uri="{C3380CC4-5D6E-409C-BE32-E72D297353CC}">
              <c16:uniqueId val="{00000008-B55B-4F9C-9857-3353F50FC600}"/>
            </c:ext>
          </c:extLst>
        </c:ser>
        <c:dLbls>
          <c:showLegendKey val="0"/>
          <c:showVal val="0"/>
          <c:showCatName val="0"/>
          <c:showSerName val="0"/>
          <c:showPercent val="0"/>
          <c:showBubbleSize val="0"/>
        </c:dLbls>
        <c:gapWidth val="0"/>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Pivot!$E$1</c:f>
          <c:strCache>
            <c:ptCount val="1"/>
            <c:pt idx="0">
              <c:v>Annual Revenue Trend - Region: West</c:v>
            </c:pt>
          </c:strCache>
        </c:strRef>
      </c:tx>
      <c:layout>
        <c:manualLayout>
          <c:xMode val="edge"/>
          <c:yMode val="edge"/>
          <c:x val="2.9127812275498082E-2"/>
          <c:y val="3.67632482495579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'Conditional Format'!$D$4</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Format'!$D$5:$D$11</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3182-4BBC-97FC-DCA2902CDE92}"/>
            </c:ext>
          </c:extLst>
        </c:ser>
        <c:ser>
          <c:idx val="3"/>
          <c:order val="1"/>
          <c:tx>
            <c:strRef>
              <c:f>'Conditional Format'!$E$4</c:f>
              <c:strCache>
                <c:ptCount val="1"/>
                <c:pt idx="0">
                  <c:v>Invisible Bar</c:v>
                </c:pt>
              </c:strCache>
            </c:strRef>
          </c:tx>
          <c:spPr>
            <a:noFill/>
            <a:ln>
              <a:no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Format'!$E$5:$E$11</c:f>
              <c:numCache>
                <c:formatCode>_(* #,##0_);_(* \(#,##0\);_(* "-"??_);_(@_)</c:formatCode>
                <c:ptCount val="7"/>
                <c:pt idx="0">
                  <c:v>174686</c:v>
                </c:pt>
                <c:pt idx="1">
                  <c:v>195025</c:v>
                </c:pt>
                <c:pt idx="2">
                  <c:v>136122</c:v>
                </c:pt>
                <c:pt idx="3">
                  <c:v>137497</c:v>
                </c:pt>
                <c:pt idx="4">
                  <c:v>169893</c:v>
                </c:pt>
                <c:pt idx="5">
                  <c:v>183016</c:v>
                </c:pt>
              </c:numCache>
            </c:numRef>
          </c:val>
          <c:extLst>
            <c:ext xmlns:c16="http://schemas.microsoft.com/office/drawing/2014/chart" uri="{C3380CC4-5D6E-409C-BE32-E72D297353CC}">
              <c16:uniqueId val="{00000001-3182-4BBC-97FC-DCA2902CDE92}"/>
            </c:ext>
          </c:extLst>
        </c:ser>
        <c:ser>
          <c:idx val="1"/>
          <c:order val="2"/>
          <c:tx>
            <c:strRef>
              <c:f>'Conditional Format'!$F$4</c:f>
              <c:strCache>
                <c:ptCount val="1"/>
                <c:pt idx="0">
                  <c:v>Invisible Bar +</c:v>
                </c:pt>
              </c:strCache>
            </c:strRef>
          </c:tx>
          <c:spPr>
            <a:noFill/>
            <a:ln>
              <a:noFill/>
            </a:ln>
            <a:effectLst/>
          </c:spPr>
          <c:invertIfNegative val="0"/>
          <c:dLbls>
            <c:dLbl>
              <c:idx val="0"/>
              <c:tx>
                <c:rich>
                  <a:bodyPr/>
                  <a:lstStyle/>
                  <a:p>
                    <a:fld id="{86891313-EA23-49AE-B2F8-C3968ED01E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182-4BBC-97FC-DCA2902CDE92}"/>
                </c:ext>
              </c:extLst>
            </c:dLbl>
            <c:dLbl>
              <c:idx val="1"/>
              <c:tx>
                <c:rich>
                  <a:bodyPr/>
                  <a:lstStyle/>
                  <a:p>
                    <a:fld id="{7CFB834E-E63A-4C2B-92F5-63FD0873BE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182-4BBC-97FC-DCA2902CDE92}"/>
                </c:ext>
              </c:extLst>
            </c:dLbl>
            <c:dLbl>
              <c:idx val="2"/>
              <c:tx>
                <c:rich>
                  <a:bodyPr/>
                  <a:lstStyle/>
                  <a:p>
                    <a:fld id="{4CD20E8D-66ED-4E10-9835-6954D0A2E0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182-4BBC-97FC-DCA2902CDE92}"/>
                </c:ext>
              </c:extLst>
            </c:dLbl>
            <c:dLbl>
              <c:idx val="3"/>
              <c:tx>
                <c:rich>
                  <a:bodyPr/>
                  <a:lstStyle/>
                  <a:p>
                    <a:fld id="{4F36ECF2-9861-41F4-93E5-16947E8B1B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182-4BBC-97FC-DCA2902CDE92}"/>
                </c:ext>
              </c:extLst>
            </c:dLbl>
            <c:dLbl>
              <c:idx val="4"/>
              <c:tx>
                <c:rich>
                  <a:bodyPr/>
                  <a:lstStyle/>
                  <a:p>
                    <a:fld id="{6F74593D-5830-4A6A-B567-4FE9016FC0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182-4BBC-97FC-DCA2902CDE92}"/>
                </c:ext>
              </c:extLst>
            </c:dLbl>
            <c:dLbl>
              <c:idx val="5"/>
              <c:tx>
                <c:rich>
                  <a:bodyPr/>
                  <a:lstStyle/>
                  <a:p>
                    <a:fld id="{C1C722B2-F9B9-451D-B16D-4A7803A251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182-4BBC-97FC-DCA2902CDE92}"/>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182-4BBC-97FC-DCA2902CDE9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'Conditional Format'!$I$5:$I$11</c:f>
                <c:numCache>
                  <c:formatCode>General</c:formatCode>
                  <c:ptCount val="7"/>
                  <c:pt idx="0">
                    <c:v>-28322</c:v>
                  </c:pt>
                  <c:pt idx="1">
                    <c:v>-20339</c:v>
                  </c:pt>
                  <c:pt idx="2">
                    <c:v>0</c:v>
                  </c:pt>
                  <c:pt idx="3">
                    <c:v>-1375</c:v>
                  </c:pt>
                  <c:pt idx="4">
                    <c:v>-32396</c:v>
                  </c:pt>
                  <c:pt idx="5">
                    <c:v>-13123</c:v>
                  </c:pt>
                </c:numCache>
              </c:numRef>
            </c:plus>
            <c:minus>
              <c:numRef>
                <c:f>'Conditional Format'!$N$5:$N$11</c:f>
                <c:numCache>
                  <c:formatCode>General</c:formatCode>
                  <c:ptCount val="7"/>
                </c:numCache>
              </c:numRef>
            </c:minus>
            <c:spPr>
              <a:noFill/>
              <a:ln w="15875" cap="flat" cmpd="sng" algn="ctr">
                <a:solidFill>
                  <a:schemeClr val="accent6"/>
                </a:solidFill>
                <a:prstDash val="solid"/>
                <a:round/>
                <a:headEnd type="triangle" w="med" len="med"/>
                <a:tailEnd type="none"/>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Format'!$F$5:$F$11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Format'!$L$5:$L$10</c15:f>
                <c15:dlblRangeCache>
                  <c:ptCount val="6"/>
                  <c:pt idx="0">
                    <c:v>+19%</c:v>
                  </c:pt>
                  <c:pt idx="1">
                    <c:v>+12%</c:v>
                  </c:pt>
                  <c:pt idx="3">
                    <c:v>+1%</c:v>
                  </c:pt>
                  <c:pt idx="4">
                    <c:v>+24%</c:v>
                  </c:pt>
                  <c:pt idx="5">
                    <c:v>+8%</c:v>
                  </c:pt>
                </c15:dlblRangeCache>
              </c15:datalabelsRange>
            </c:ext>
            <c:ext xmlns:c16="http://schemas.microsoft.com/office/drawing/2014/chart" uri="{C3380CC4-5D6E-409C-BE32-E72D297353CC}">
              <c16:uniqueId val="{00000009-3182-4BBC-97FC-DCA2902CDE92}"/>
            </c:ext>
          </c:extLst>
        </c:ser>
        <c:ser>
          <c:idx val="2"/>
          <c:order val="3"/>
          <c:tx>
            <c:strRef>
              <c:f>'Conditional Format'!$G$4</c:f>
              <c:strCache>
                <c:ptCount val="1"/>
                <c:pt idx="0">
                  <c:v>Invisible Bar -</c:v>
                </c:pt>
              </c:strCache>
            </c:strRef>
          </c:tx>
          <c:spPr>
            <a:noFill/>
            <a:ln>
              <a:noFill/>
            </a:ln>
            <a:effectLst/>
          </c:spPr>
          <c:invertIfNegative val="0"/>
          <c:dLbls>
            <c:dLbl>
              <c:idx val="0"/>
              <c:tx>
                <c:rich>
                  <a:bodyPr/>
                  <a:lstStyle/>
                  <a:p>
                    <a:fld id="{3681A7F9-0D67-488C-8E05-8C53472B3DA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3182-4BBC-97FC-DCA2902CDE92}"/>
                </c:ext>
              </c:extLst>
            </c:dLbl>
            <c:dLbl>
              <c:idx val="1"/>
              <c:tx>
                <c:rich>
                  <a:bodyPr/>
                  <a:lstStyle/>
                  <a:p>
                    <a:fld id="{405CA289-33DD-45B3-934E-CC41D844F69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182-4BBC-97FC-DCA2902CDE92}"/>
                </c:ext>
              </c:extLst>
            </c:dLbl>
            <c:dLbl>
              <c:idx val="2"/>
              <c:tx>
                <c:rich>
                  <a:bodyPr/>
                  <a:lstStyle/>
                  <a:p>
                    <a:fld id="{D20A1C47-6B86-4862-9F63-8DCA11FAEC3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182-4BBC-97FC-DCA2902CDE92}"/>
                </c:ext>
              </c:extLst>
            </c:dLbl>
            <c:dLbl>
              <c:idx val="3"/>
              <c:tx>
                <c:rich>
                  <a:bodyPr/>
                  <a:lstStyle/>
                  <a:p>
                    <a:fld id="{F408D396-9BBC-418E-9C81-54676C7978C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3182-4BBC-97FC-DCA2902CDE92}"/>
                </c:ext>
              </c:extLst>
            </c:dLbl>
            <c:dLbl>
              <c:idx val="4"/>
              <c:tx>
                <c:rich>
                  <a:bodyPr/>
                  <a:lstStyle/>
                  <a:p>
                    <a:fld id="{ED8656D4-99B4-421E-B0B4-EB9642923E9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3182-4BBC-97FC-DCA2902CDE92}"/>
                </c:ext>
              </c:extLst>
            </c:dLbl>
            <c:dLbl>
              <c:idx val="5"/>
              <c:tx>
                <c:rich>
                  <a:bodyPr/>
                  <a:lstStyle/>
                  <a:p>
                    <a:fld id="{071E0D34-9112-43E5-8488-16CD44AB68B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3182-4BBC-97FC-DCA2902CDE92}"/>
                </c:ext>
              </c:extLst>
            </c:dLbl>
            <c:dLbl>
              <c:idx val="6"/>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182-4BBC-97FC-DCA2902CDE9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C00000"/>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1"/>
            <c:plus>
              <c:numRef>
                <c:f>'Conditional Format'!$N$5:$N$11</c:f>
                <c:numCache>
                  <c:formatCode>General</c:formatCode>
                  <c:ptCount val="7"/>
                </c:numCache>
              </c:numRef>
            </c:plus>
            <c:minus>
              <c:numRef>
                <c:f>'Conditional Format'!$J$5:$J$11</c:f>
                <c:numCache>
                  <c:formatCode>General</c:formatCode>
                  <c:ptCount val="7"/>
                  <c:pt idx="0">
                    <c:v>0</c:v>
                  </c:pt>
                  <c:pt idx="1">
                    <c:v>0</c:v>
                  </c:pt>
                  <c:pt idx="2">
                    <c:v>-58903</c:v>
                  </c:pt>
                  <c:pt idx="3">
                    <c:v>0</c:v>
                  </c:pt>
                  <c:pt idx="4">
                    <c:v>0</c:v>
                  </c:pt>
                  <c:pt idx="5">
                    <c:v>0</c:v>
                  </c:pt>
                </c:numCache>
              </c:numRef>
            </c:minus>
            <c:spPr>
              <a:noFill/>
              <a:ln w="15875" cap="sq" cmpd="sng" algn="ctr">
                <a:solidFill>
                  <a:srgbClr val="C00000"/>
                </a:solidFill>
                <a:round/>
                <a:headEnd type="triangle"/>
                <a:tailEnd type="none" w="med" len="med"/>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Format'!$G$5:$G$11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Format'!$M$5:$M$10</c15:f>
                <c15:dlblRangeCache>
                  <c:ptCount val="6"/>
                  <c:pt idx="2">
                    <c:v>-30%</c:v>
                  </c:pt>
                </c15:dlblRangeCache>
              </c15:datalabelsRange>
            </c:ext>
            <c:ext xmlns:c16="http://schemas.microsoft.com/office/drawing/2014/chart" uri="{C3380CC4-5D6E-409C-BE32-E72D297353CC}">
              <c16:uniqueId val="{00000011-3182-4BBC-97FC-DCA2902CDE92}"/>
            </c:ext>
          </c:extLst>
        </c:ser>
        <c:dLbls>
          <c:showLegendKey val="0"/>
          <c:showVal val="0"/>
          <c:showCatName val="0"/>
          <c:showSerName val="0"/>
          <c:showPercent val="0"/>
          <c:showBubbleSize val="0"/>
        </c:dLbls>
        <c:gapWidth val="19"/>
        <c:overlap val="53"/>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t>Wayne Edmondson's Macro Version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'Macro - Wayne'!$D$7</c:f>
              <c:strCache>
                <c:ptCount val="1"/>
                <c:pt idx="0">
                  <c:v>Revenue $K</c:v>
                </c:pt>
              </c:strCache>
            </c:strRef>
          </c:tx>
          <c:spPr>
            <a:solidFill>
              <a:schemeClr val="bg1">
                <a:lumMod val="75000"/>
              </a:schemeClr>
            </a:solidFill>
            <a:ln>
              <a:noFill/>
            </a:ln>
            <a:effectLst/>
          </c:spPr>
          <c:invertIfNegative val="0"/>
          <c:cat>
            <c:strRef>
              <c:f>'Macro - Wayne'!$C$8:$C$14</c:f>
              <c:strCache>
                <c:ptCount val="7"/>
                <c:pt idx="0">
                  <c:v>2011               </c:v>
                </c:pt>
                <c:pt idx="1">
                  <c:v>2012               </c:v>
                </c:pt>
                <c:pt idx="2">
                  <c:v>2013               </c:v>
                </c:pt>
                <c:pt idx="3">
                  <c:v>2014               </c:v>
                </c:pt>
                <c:pt idx="4">
                  <c:v>2015               </c:v>
                </c:pt>
                <c:pt idx="5">
                  <c:v>2016               </c:v>
                </c:pt>
                <c:pt idx="6">
                  <c:v>2017               </c:v>
                </c:pt>
              </c:strCache>
            </c:strRef>
          </c:cat>
          <c:val>
            <c:numRef>
              <c:f>'Macro - Wayne'!$D$8:$D$14</c:f>
              <c:numCache>
                <c:formatCode>"$"#,##0,\K</c:formatCode>
                <c:ptCount val="7"/>
                <c:pt idx="0">
                  <c:v>643362</c:v>
                </c:pt>
                <c:pt idx="1">
                  <c:v>930614</c:v>
                </c:pt>
                <c:pt idx="2">
                  <c:v>168594</c:v>
                </c:pt>
                <c:pt idx="3">
                  <c:v>595904</c:v>
                </c:pt>
                <c:pt idx="4">
                  <c:v>336568</c:v>
                </c:pt>
                <c:pt idx="5">
                  <c:v>610004</c:v>
                </c:pt>
                <c:pt idx="6">
                  <c:v>667961</c:v>
                </c:pt>
              </c:numCache>
            </c:numRef>
          </c:val>
          <c:extLst>
            <c:ext xmlns:c16="http://schemas.microsoft.com/office/drawing/2014/chart" uri="{C3380CC4-5D6E-409C-BE32-E72D297353CC}">
              <c16:uniqueId val="{00000000-F9D1-4D91-809C-072EF3C0C6B2}"/>
            </c:ext>
          </c:extLst>
        </c:ser>
        <c:ser>
          <c:idx val="1"/>
          <c:order val="1"/>
          <c:tx>
            <c:strRef>
              <c:f>'Macro - Wayne'!$E$7</c:f>
              <c:strCache>
                <c:ptCount val="1"/>
                <c:pt idx="0">
                  <c:v>Invisible Bar</c:v>
                </c:pt>
              </c:strCache>
            </c:strRef>
          </c:tx>
          <c:spPr>
            <a:noFill/>
            <a:ln>
              <a:noFill/>
            </a:ln>
            <a:effectLst/>
          </c:spPr>
          <c:invertIfNegative val="0"/>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2F248878-0831-4F0F-995A-7BAF08D46FAA}"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9D1-4D91-809C-072EF3C0C6B2}"/>
                </c:ext>
              </c:extLst>
            </c:dLbl>
            <c:dLbl>
              <c:idx val="1"/>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4F7B38F0-7F70-4F9A-8B71-BBEADB9EEB84}"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9D1-4D91-809C-072EF3C0C6B2}"/>
                </c:ext>
              </c:extLst>
            </c:dLbl>
            <c:dLbl>
              <c:idx val="2"/>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444CF9EB-DC15-408F-84D3-78EFDE506425}"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9D1-4D91-809C-072EF3C0C6B2}"/>
                </c:ext>
              </c:extLst>
            </c:dLbl>
            <c:dLbl>
              <c:idx val="3"/>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7C27B837-EAB5-4680-BA72-92D3CDDAE6CA}"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9D1-4D91-809C-072EF3C0C6B2}"/>
                </c:ext>
              </c:extLst>
            </c:dLbl>
            <c:dLbl>
              <c:idx val="4"/>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D89E5446-5D3A-40FB-A91E-3DB33494E488}"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9D1-4D91-809C-072EF3C0C6B2}"/>
                </c:ext>
              </c:extLst>
            </c:dLbl>
            <c:dLbl>
              <c:idx val="5"/>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91B71C60-193C-4501-8DAA-7211A8DE37AA}"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9D1-4D91-809C-072EF3C0C6B2}"/>
                </c:ext>
              </c:extLst>
            </c:dLbl>
            <c:dLbl>
              <c:idx val="6"/>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solidFill>
                        <a:srgbClr val="33CC33"/>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9D1-4D91-809C-072EF3C0C6B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'Macro - Wayne'!$G$8:$G$14</c:f>
                <c:numCache>
                  <c:formatCode>General</c:formatCode>
                  <c:ptCount val="7"/>
                  <c:pt idx="0">
                    <c:v>-287252</c:v>
                  </c:pt>
                  <c:pt idx="1">
                    <c:v>0</c:v>
                  </c:pt>
                  <c:pt idx="2">
                    <c:v>-427310</c:v>
                  </c:pt>
                  <c:pt idx="3">
                    <c:v>0</c:v>
                  </c:pt>
                  <c:pt idx="4">
                    <c:v>-273436</c:v>
                  </c:pt>
                  <c:pt idx="5">
                    <c:v>-57957</c:v>
                  </c:pt>
                </c:numCache>
              </c:numRef>
            </c:plus>
            <c:minus>
              <c:numRef>
                <c:f>'Macro - Wayne'!$H$8:$H$14</c:f>
                <c:numCache>
                  <c:formatCode>General</c:formatCode>
                  <c:ptCount val="7"/>
                  <c:pt idx="0">
                    <c:v>0</c:v>
                  </c:pt>
                  <c:pt idx="1">
                    <c:v>-762020</c:v>
                  </c:pt>
                  <c:pt idx="2">
                    <c:v>0</c:v>
                  </c:pt>
                  <c:pt idx="3">
                    <c:v>-259336</c:v>
                  </c:pt>
                  <c:pt idx="4">
                    <c:v>0</c:v>
                  </c:pt>
                  <c:pt idx="5">
                    <c:v>0</c:v>
                  </c:pt>
                </c:numCache>
              </c:numRef>
            </c:minus>
            <c:spPr>
              <a:noFill/>
              <a:ln w="15875" cap="flat" cmpd="sng" algn="ctr">
                <a:solidFill>
                  <a:schemeClr val="tx1">
                    <a:lumMod val="65000"/>
                    <a:lumOff val="35000"/>
                  </a:schemeClr>
                </a:solidFill>
                <a:round/>
                <a:headEnd type="triangle"/>
              </a:ln>
              <a:effectLst/>
            </c:spPr>
          </c:errBars>
          <c:cat>
            <c:strRef>
              <c:f>'Macro - Wayne'!$C$8:$C$14</c:f>
              <c:strCache>
                <c:ptCount val="7"/>
                <c:pt idx="0">
                  <c:v>2011               </c:v>
                </c:pt>
                <c:pt idx="1">
                  <c:v>2012               </c:v>
                </c:pt>
                <c:pt idx="2">
                  <c:v>2013               </c:v>
                </c:pt>
                <c:pt idx="3">
                  <c:v>2014               </c:v>
                </c:pt>
                <c:pt idx="4">
                  <c:v>2015               </c:v>
                </c:pt>
                <c:pt idx="5">
                  <c:v>2016               </c:v>
                </c:pt>
                <c:pt idx="6">
                  <c:v>2017               </c:v>
                </c:pt>
              </c:strCache>
            </c:strRef>
          </c:cat>
          <c:val>
            <c:numRef>
              <c:f>'Macro - Wayne'!$E$8:$E$14</c:f>
              <c:numCache>
                <c:formatCode>"$"#,##0,\K</c:formatCode>
                <c:ptCount val="7"/>
                <c:pt idx="0">
                  <c:v>930614</c:v>
                </c:pt>
                <c:pt idx="1">
                  <c:v>168594</c:v>
                </c:pt>
                <c:pt idx="2">
                  <c:v>595904</c:v>
                </c:pt>
                <c:pt idx="3">
                  <c:v>336568</c:v>
                </c:pt>
                <c:pt idx="4">
                  <c:v>610004</c:v>
                </c:pt>
                <c:pt idx="5">
                  <c:v>667961</c:v>
                </c:pt>
              </c:numCache>
            </c:numRef>
          </c:val>
          <c:extLst>
            <c:ext xmlns:c15="http://schemas.microsoft.com/office/drawing/2012/chart" uri="{02D57815-91ED-43cb-92C2-25804820EDAC}">
              <c15:datalabelsRange>
                <c15:f>'Macro - Wayne'!$I$8:$I$14</c15:f>
                <c15:dlblRangeCache>
                  <c:ptCount val="7"/>
                  <c:pt idx="0">
                    <c:v>+45%</c:v>
                  </c:pt>
                  <c:pt idx="1">
                    <c:v>-82%</c:v>
                  </c:pt>
                  <c:pt idx="2">
                    <c:v>+253%</c:v>
                  </c:pt>
                  <c:pt idx="3">
                    <c:v>-44%</c:v>
                  </c:pt>
                  <c:pt idx="4">
                    <c:v>+81%</c:v>
                  </c:pt>
                  <c:pt idx="5">
                    <c:v>+10%</c:v>
                  </c:pt>
                </c15:dlblRangeCache>
              </c15:datalabelsRange>
            </c:ext>
            <c:ext xmlns:c16="http://schemas.microsoft.com/office/drawing/2014/chart" uri="{C3380CC4-5D6E-409C-BE32-E72D297353CC}">
              <c16:uniqueId val="{00000008-F9D1-4D91-809C-072EF3C0C6B2}"/>
            </c:ext>
          </c:extLst>
        </c:ser>
        <c:dLbls>
          <c:showLegendKey val="0"/>
          <c:showVal val="0"/>
          <c:showCatName val="0"/>
          <c:showSerName val="0"/>
          <c:showPercent val="0"/>
          <c:showBubbleSize val="0"/>
        </c:dLbls>
        <c:gapWidth val="0"/>
        <c:axId val="476184896"/>
        <c:axId val="53481264"/>
      </c:ba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Jon Peltier's Combo Chart with XY Scatter</a:t>
            </a:r>
            <a:r>
              <a:rPr lang="en-US" baseline="0"/>
              <a:t> Version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'Combo XY - Peltier'!$D$8</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'Combo XY - Peltier'!$C$9:$C$15</c:f>
              <c:strCache>
                <c:ptCount val="7"/>
                <c:pt idx="0">
                  <c:v>2011             </c:v>
                </c:pt>
                <c:pt idx="1">
                  <c:v>2012             </c:v>
                </c:pt>
                <c:pt idx="2">
                  <c:v>2013             </c:v>
                </c:pt>
                <c:pt idx="3">
                  <c:v>2014             </c:v>
                </c:pt>
                <c:pt idx="4">
                  <c:v>2015             </c:v>
                </c:pt>
                <c:pt idx="5">
                  <c:v>2016             </c:v>
                </c:pt>
                <c:pt idx="6">
                  <c:v>2017             </c:v>
                </c:pt>
              </c:strCache>
            </c:strRef>
          </c:cat>
          <c:val>
            <c:numRef>
              <c:f>'Combo XY - Peltier'!$D$9:$D$15</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A82B-48BB-BF4B-F781F6ED73E5}"/>
            </c:ext>
          </c:extLst>
        </c:ser>
        <c:dLbls>
          <c:showLegendKey val="0"/>
          <c:showVal val="0"/>
          <c:showCatName val="0"/>
          <c:showSerName val="0"/>
          <c:showPercent val="0"/>
          <c:showBubbleSize val="0"/>
        </c:dLbls>
        <c:gapWidth val="100"/>
        <c:axId val="476184896"/>
        <c:axId val="53481264"/>
      </c:barChart>
      <c:scatterChart>
        <c:scatterStyle val="lineMarker"/>
        <c:varyColors val="0"/>
        <c:ser>
          <c:idx val="1"/>
          <c:order val="1"/>
          <c:tx>
            <c:strRef>
              <c:f>'Combo XY - Peltier'!$H$8</c:f>
              <c:strCache>
                <c:ptCount val="1"/>
                <c:pt idx="0">
                  <c:v>Increase</c:v>
                </c:pt>
              </c:strCache>
            </c:strRef>
          </c:tx>
          <c:spPr>
            <a:ln w="25400" cap="rnd">
              <a:noFill/>
              <a:round/>
            </a:ln>
            <a:effectLst/>
          </c:spPr>
          <c:marker>
            <c:symbol val="none"/>
          </c:marker>
          <c:dLbls>
            <c:dLbl>
              <c:idx val="0"/>
              <c:tx>
                <c:rich>
                  <a:bodyPr/>
                  <a:lstStyle/>
                  <a:p>
                    <a:fld id="{60AAA7D4-8620-407E-89B9-FAB93DBEED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82B-48BB-BF4B-F781F6ED73E5}"/>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82B-48BB-BF4B-F781F6ED73E5}"/>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82B-48BB-BF4B-F781F6ED73E5}"/>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82B-48BB-BF4B-F781F6ED73E5}"/>
                </c:ext>
              </c:extLst>
            </c:dLbl>
            <c:dLbl>
              <c:idx val="4"/>
              <c:tx>
                <c:rich>
                  <a:bodyPr/>
                  <a:lstStyle/>
                  <a:p>
                    <a:fld id="{12E53ED9-3C69-463E-AFA1-77BCEB71019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82B-48BB-BF4B-F781F6ED73E5}"/>
                </c:ext>
              </c:extLst>
            </c:dLbl>
            <c:dLbl>
              <c:idx val="5"/>
              <c:tx>
                <c:rich>
                  <a:bodyPr/>
                  <a:lstStyle/>
                  <a:p>
                    <a:fld id="{3C700CF7-D530-4384-A88D-09DD94C3BB5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82B-48BB-BF4B-F781F6ED73E5}"/>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 Peltier'!$E$9:$E$14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chemeClr val="accent6"/>
                </a:solidFill>
                <a:round/>
                <a:headEnd type="triangle"/>
              </a:ln>
              <a:effectLst/>
            </c:spPr>
          </c:errBars>
          <c:xVal>
            <c:numRef>
              <c:f>'Combo XY - Peltier'!$G$9:$G$14</c:f>
              <c:numCache>
                <c:formatCode>General</c:formatCode>
                <c:ptCount val="6"/>
                <c:pt idx="0">
                  <c:v>1.5</c:v>
                </c:pt>
                <c:pt idx="1">
                  <c:v>2.5</c:v>
                </c:pt>
                <c:pt idx="2">
                  <c:v>3.5</c:v>
                </c:pt>
                <c:pt idx="3">
                  <c:v>4.5</c:v>
                </c:pt>
                <c:pt idx="4">
                  <c:v>5.5</c:v>
                </c:pt>
                <c:pt idx="5">
                  <c:v>6.5</c:v>
                </c:pt>
              </c:numCache>
            </c:numRef>
          </c:xVal>
          <c:yVal>
            <c:numRef>
              <c:f>'Combo XY - Peltier'!$H$9:$H$14</c:f>
              <c:numCache>
                <c:formatCode>"$"#,##0,\K</c:formatCode>
                <c:ptCount val="6"/>
                <c:pt idx="0">
                  <c:v>174686</c:v>
                </c:pt>
                <c:pt idx="1">
                  <c:v>195025</c:v>
                </c:pt>
                <c:pt idx="2">
                  <c:v>#N/A</c:v>
                </c:pt>
                <c:pt idx="3">
                  <c:v>137497</c:v>
                </c:pt>
                <c:pt idx="4">
                  <c:v>169893</c:v>
                </c:pt>
                <c:pt idx="5">
                  <c:v>183016</c:v>
                </c:pt>
              </c:numCache>
            </c:numRef>
          </c:yVal>
          <c:smooth val="0"/>
          <c:extLst>
            <c:ext xmlns:c15="http://schemas.microsoft.com/office/drawing/2012/chart" uri="{02D57815-91ED-43cb-92C2-25804820EDAC}">
              <c15:datalabelsRange>
                <c15:f>'Combo XY - Peltier'!$F$9:$F$14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7-A82B-48BB-BF4B-F781F6ED73E5}"/>
            </c:ext>
          </c:extLst>
        </c:ser>
        <c:ser>
          <c:idx val="2"/>
          <c:order val="2"/>
          <c:tx>
            <c:strRef>
              <c:f>'Combo XY - Peltier'!$I$8</c:f>
              <c:strCache>
                <c:ptCount val="1"/>
                <c:pt idx="0">
                  <c:v>Deacrease</c:v>
                </c:pt>
              </c:strCache>
            </c:strRef>
          </c:tx>
          <c:spPr>
            <a:ln w="25400" cap="rnd">
              <a:noFill/>
              <a:round/>
            </a:ln>
            <a:effectLst/>
          </c:spPr>
          <c:marker>
            <c:symbol val="none"/>
          </c:marker>
          <c:dLbls>
            <c:dLbl>
              <c:idx val="0"/>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82B-48BB-BF4B-F781F6ED73E5}"/>
                </c:ext>
              </c:extLst>
            </c:dLbl>
            <c:dLbl>
              <c:idx val="1"/>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82B-48BB-BF4B-F781F6ED73E5}"/>
                </c:ext>
              </c:extLst>
            </c:dLbl>
            <c:dLbl>
              <c:idx val="2"/>
              <c:tx>
                <c:rich>
                  <a:bodyPr/>
                  <a:lstStyle/>
                  <a:p>
                    <a:fld id="{677F2089-31DA-4651-9C56-F5709CF0EAE8}"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82B-48BB-BF4B-F781F6ED73E5}"/>
                </c:ext>
              </c:extLst>
            </c:dLbl>
            <c:dLbl>
              <c:idx val="3"/>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A82B-48BB-BF4B-F781F6ED73E5}"/>
                </c:ext>
              </c:extLst>
            </c:dLbl>
            <c:dLbl>
              <c:idx val="4"/>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A82B-48BB-BF4B-F781F6ED73E5}"/>
                </c:ext>
              </c:extLst>
            </c:dLbl>
            <c:dLbl>
              <c:idx val="5"/>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A82B-48BB-BF4B-F781F6ED73E5}"/>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 Peltier'!$E$9:$E$14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rgbClr val="C00000"/>
                </a:solidFill>
                <a:round/>
                <a:headEnd type="triangle"/>
              </a:ln>
              <a:effectLst/>
            </c:spPr>
          </c:errBars>
          <c:xVal>
            <c:numRef>
              <c:f>'Combo XY - Peltier'!$G$9:$G$14</c:f>
              <c:numCache>
                <c:formatCode>General</c:formatCode>
                <c:ptCount val="6"/>
                <c:pt idx="0">
                  <c:v>1.5</c:v>
                </c:pt>
                <c:pt idx="1">
                  <c:v>2.5</c:v>
                </c:pt>
                <c:pt idx="2">
                  <c:v>3.5</c:v>
                </c:pt>
                <c:pt idx="3">
                  <c:v>4.5</c:v>
                </c:pt>
                <c:pt idx="4">
                  <c:v>5.5</c:v>
                </c:pt>
                <c:pt idx="5">
                  <c:v>6.5</c:v>
                </c:pt>
              </c:numCache>
            </c:numRef>
          </c:xVal>
          <c:yVal>
            <c:numRef>
              <c:f>'Combo XY - Peltier'!$I$9:$I$14</c:f>
              <c:numCache>
                <c:formatCode>"$"#,##0,\K</c:formatCode>
                <c:ptCount val="6"/>
                <c:pt idx="0">
                  <c:v>#N/A</c:v>
                </c:pt>
                <c:pt idx="1">
                  <c:v>#N/A</c:v>
                </c:pt>
                <c:pt idx="2">
                  <c:v>136122</c:v>
                </c:pt>
                <c:pt idx="3">
                  <c:v>#N/A</c:v>
                </c:pt>
                <c:pt idx="4">
                  <c:v>#N/A</c:v>
                </c:pt>
                <c:pt idx="5">
                  <c:v>#N/A</c:v>
                </c:pt>
              </c:numCache>
            </c:numRef>
          </c:yVal>
          <c:smooth val="0"/>
          <c:extLst>
            <c:ext xmlns:c15="http://schemas.microsoft.com/office/drawing/2012/chart" uri="{02D57815-91ED-43cb-92C2-25804820EDAC}">
              <c15:datalabelsRange>
                <c15:f>'Combo XY - Peltier'!$F$9:$F$14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E-A82B-48BB-BF4B-F781F6ED73E5}"/>
            </c:ext>
          </c:extLst>
        </c:ser>
        <c:dLbls>
          <c:showLegendKey val="0"/>
          <c:showVal val="0"/>
          <c:showCatName val="0"/>
          <c:showSerName val="0"/>
          <c:showPercent val="0"/>
          <c:showBubbleSize val="0"/>
        </c:dLbls>
        <c:axId val="476184896"/>
        <c:axId val="53481264"/>
      </c:scatte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'Positive Only'!$D$4</c:f>
              <c:strCache>
                <c:ptCount val="1"/>
                <c:pt idx="0">
                  <c:v>Revenue $K</c:v>
                </c:pt>
              </c:strCache>
            </c:strRef>
          </c:tx>
          <c:spPr>
            <a:solidFill>
              <a:schemeClr val="bg1">
                <a:lumMod val="50000"/>
              </a:schemeClr>
            </a:solidFill>
            <a:ln>
              <a:solidFill>
                <a:schemeClr val="bg1">
                  <a:lumMod val="50000"/>
                </a:schemeClr>
              </a:solidFill>
            </a:ln>
            <a:effectLst/>
          </c:spPr>
          <c:invertIfNegative val="0"/>
          <c:cat>
            <c:strRef>
              <c:f>'Positive Only'!$C$5:$C$11</c:f>
              <c:strCache>
                <c:ptCount val="7"/>
                <c:pt idx="0">
                  <c:v>2011             </c:v>
                </c:pt>
                <c:pt idx="1">
                  <c:v>2012             </c:v>
                </c:pt>
                <c:pt idx="2">
                  <c:v>2013             </c:v>
                </c:pt>
                <c:pt idx="3">
                  <c:v>2014             </c:v>
                </c:pt>
                <c:pt idx="4">
                  <c:v>2015             </c:v>
                </c:pt>
                <c:pt idx="5">
                  <c:v>2016             </c:v>
                </c:pt>
                <c:pt idx="6">
                  <c:v>2017             </c:v>
                </c:pt>
              </c:strCache>
            </c:strRef>
          </c:cat>
          <c:val>
            <c:numRef>
              <c:f>'Positive Only'!$D$5:$D$11</c:f>
              <c:numCache>
                <c:formatCode>"$"#,##0,\K</c:formatCode>
                <c:ptCount val="7"/>
                <c:pt idx="0">
                  <c:v>367000</c:v>
                </c:pt>
                <c:pt idx="1">
                  <c:v>484000</c:v>
                </c:pt>
                <c:pt idx="2">
                  <c:v>561000</c:v>
                </c:pt>
                <c:pt idx="3">
                  <c:v>662000</c:v>
                </c:pt>
                <c:pt idx="4">
                  <c:v>773000</c:v>
                </c:pt>
                <c:pt idx="5">
                  <c:v>774000</c:v>
                </c:pt>
                <c:pt idx="6">
                  <c:v>812000</c:v>
                </c:pt>
              </c:numCache>
            </c:numRef>
          </c:val>
          <c:extLst>
            <c:ext xmlns:c16="http://schemas.microsoft.com/office/drawing/2014/chart" uri="{C3380CC4-5D6E-409C-BE32-E72D297353CC}">
              <c16:uniqueId val="{00000000-9C51-44CE-AC86-3E06BCD070AE}"/>
            </c:ext>
          </c:extLst>
        </c:ser>
        <c:ser>
          <c:idx val="1"/>
          <c:order val="1"/>
          <c:tx>
            <c:strRef>
              <c:f>'Positive Only'!$E$4</c:f>
              <c:strCache>
                <c:ptCount val="1"/>
                <c:pt idx="0">
                  <c:v>Invisible Bar</c:v>
                </c:pt>
              </c:strCache>
            </c:strRef>
          </c:tx>
          <c:spPr>
            <a:noFill/>
            <a:ln>
              <a:noFill/>
            </a:ln>
            <a:effectLst/>
          </c:spPr>
          <c:invertIfNegative val="0"/>
          <c:dLbls>
            <c:dLbl>
              <c:idx val="0"/>
              <c:tx>
                <c:rich>
                  <a:bodyPr/>
                  <a:lstStyle/>
                  <a:p>
                    <a:fld id="{0CDF93EE-D83B-42E3-94CC-69E8F90679D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C51-44CE-AC86-3E06BCD070AE}"/>
                </c:ext>
              </c:extLst>
            </c:dLbl>
            <c:dLbl>
              <c:idx val="1"/>
              <c:tx>
                <c:rich>
                  <a:bodyPr/>
                  <a:lstStyle/>
                  <a:p>
                    <a:fld id="{91ADDBA9-AB57-43D1-9B77-95C80450987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C51-44CE-AC86-3E06BCD070AE}"/>
                </c:ext>
              </c:extLst>
            </c:dLbl>
            <c:dLbl>
              <c:idx val="2"/>
              <c:tx>
                <c:rich>
                  <a:bodyPr/>
                  <a:lstStyle/>
                  <a:p>
                    <a:fld id="{51A7BF9C-BC46-4A27-99B4-8A3F229F260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C51-44CE-AC86-3E06BCD070AE}"/>
                </c:ext>
              </c:extLst>
            </c:dLbl>
            <c:dLbl>
              <c:idx val="3"/>
              <c:tx>
                <c:rich>
                  <a:bodyPr/>
                  <a:lstStyle/>
                  <a:p>
                    <a:fld id="{DE9816C8-F92C-43FC-860F-27A5FC0412C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C51-44CE-AC86-3E06BCD070AE}"/>
                </c:ext>
              </c:extLst>
            </c:dLbl>
            <c:dLbl>
              <c:idx val="4"/>
              <c:tx>
                <c:rich>
                  <a:bodyPr/>
                  <a:lstStyle/>
                  <a:p>
                    <a:fld id="{3040DB5E-9798-4029-B6E3-78CAE78DD5E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C51-44CE-AC86-3E06BCD070AE}"/>
                </c:ext>
              </c:extLst>
            </c:dLbl>
            <c:dLbl>
              <c:idx val="5"/>
              <c:tx>
                <c:rich>
                  <a:bodyPr/>
                  <a:lstStyle/>
                  <a:p>
                    <a:fld id="{62956834-777C-4C18-8082-B83ED489567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C51-44CE-AC86-3E06BCD070AE}"/>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9C51-44CE-AC86-3E06BCD070AE}"/>
                </c:ext>
              </c:extLst>
            </c:dLbl>
            <c:spPr>
              <a:solidFill>
                <a:schemeClr val="bg1"/>
              </a:solid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0"/>
            <c:plus>
              <c:numRef>
                <c:f>'Positive Only'!$H$5:$H$11</c:f>
                <c:numCache>
                  <c:formatCode>General</c:formatCode>
                  <c:ptCount val="7"/>
                  <c:pt idx="0">
                    <c:v>0</c:v>
                  </c:pt>
                  <c:pt idx="1">
                    <c:v>0</c:v>
                  </c:pt>
                  <c:pt idx="2">
                    <c:v>0</c:v>
                  </c:pt>
                  <c:pt idx="3">
                    <c:v>0</c:v>
                  </c:pt>
                  <c:pt idx="4">
                    <c:v>0</c:v>
                  </c:pt>
                  <c:pt idx="5">
                    <c:v>0</c:v>
                  </c:pt>
                </c:numCache>
              </c:numRef>
            </c:plus>
            <c:minus>
              <c:numRef>
                <c:f>'Positive Only'!$G$5:$G$11</c:f>
                <c:numCache>
                  <c:formatCode>General</c:formatCode>
                  <c:ptCount val="7"/>
                  <c:pt idx="0">
                    <c:v>117000</c:v>
                  </c:pt>
                  <c:pt idx="1">
                    <c:v>77000</c:v>
                  </c:pt>
                  <c:pt idx="2">
                    <c:v>101000</c:v>
                  </c:pt>
                  <c:pt idx="3">
                    <c:v>111000</c:v>
                  </c:pt>
                  <c:pt idx="4">
                    <c:v>1000</c:v>
                  </c:pt>
                  <c:pt idx="5">
                    <c:v>38000</c:v>
                  </c:pt>
                </c:numCache>
              </c:numRef>
            </c:minus>
            <c:spPr>
              <a:noFill/>
              <a:ln w="12700" cap="flat" cmpd="sng" algn="ctr">
                <a:solidFill>
                  <a:schemeClr val="tx1">
                    <a:lumMod val="50000"/>
                    <a:lumOff val="50000"/>
                  </a:schemeClr>
                </a:solidFill>
                <a:prstDash val="solid"/>
                <a:round/>
                <a:headEnd type="none" w="med" len="med"/>
                <a:tailEnd type="none"/>
              </a:ln>
              <a:effectLst/>
            </c:spPr>
          </c:errBars>
          <c:val>
            <c:numRef>
              <c:f>'Positive Only'!$E$5:$E$11</c:f>
              <c:numCache>
                <c:formatCode>_(* #,##0_);_(* \(#,##0\);_(* "-"??_);_(@_)</c:formatCode>
                <c:ptCount val="7"/>
                <c:pt idx="0">
                  <c:v>484000</c:v>
                </c:pt>
                <c:pt idx="1">
                  <c:v>561000</c:v>
                </c:pt>
                <c:pt idx="2">
                  <c:v>662000</c:v>
                </c:pt>
                <c:pt idx="3">
                  <c:v>773000</c:v>
                </c:pt>
                <c:pt idx="4">
                  <c:v>774000</c:v>
                </c:pt>
                <c:pt idx="5">
                  <c:v>812000</c:v>
                </c:pt>
              </c:numCache>
            </c:numRef>
          </c:val>
          <c:extLst>
            <c:ext xmlns:c15="http://schemas.microsoft.com/office/drawing/2012/chart" uri="{02D57815-91ED-43cb-92C2-25804820EDAC}">
              <c15:datalabelsRange>
                <c15:f>'Positive Only'!$I$5:$I$11</c15:f>
                <c15:dlblRangeCache>
                  <c:ptCount val="7"/>
                  <c:pt idx="0">
                    <c:v>+32%</c:v>
                  </c:pt>
                  <c:pt idx="1">
                    <c:v>+16%</c:v>
                  </c:pt>
                  <c:pt idx="2">
                    <c:v>+18%</c:v>
                  </c:pt>
                  <c:pt idx="3">
                    <c:v>+17%</c:v>
                  </c:pt>
                  <c:pt idx="4">
                    <c:v>+0%</c:v>
                  </c:pt>
                  <c:pt idx="5">
                    <c:v>+5%</c:v>
                  </c:pt>
                </c15:dlblRangeCache>
              </c15:datalabelsRange>
            </c:ext>
            <c:ext xmlns:c16="http://schemas.microsoft.com/office/drawing/2014/chart" uri="{C3380CC4-5D6E-409C-BE32-E72D297353CC}">
              <c16:uniqueId val="{00000008-9C51-44CE-AC86-3E06BCD070AE}"/>
            </c:ext>
          </c:extLst>
        </c:ser>
        <c:dLbls>
          <c:showLegendKey val="0"/>
          <c:showVal val="0"/>
          <c:showCatName val="0"/>
          <c:showSerName val="0"/>
          <c:showPercent val="0"/>
          <c:showBubbleSize val="0"/>
        </c:dLbls>
        <c:gapWidth val="10"/>
        <c:overlap val="57"/>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'Conditional Format v1'!$D$4</c:f>
              <c:strCache>
                <c:ptCount val="1"/>
                <c:pt idx="0">
                  <c:v>Revenue $K</c:v>
                </c:pt>
              </c:strCache>
            </c:strRef>
          </c:tx>
          <c:spPr>
            <a:solidFill>
              <a:schemeClr val="bg1">
                <a:lumMod val="65000"/>
              </a:schemeClr>
            </a:solidFill>
            <a:ln>
              <a:solidFill>
                <a:schemeClr val="bg1">
                  <a:lumMod val="50000"/>
                </a:schemeClr>
              </a:solidFill>
            </a:ln>
            <a:effectLst/>
          </c:spPr>
          <c:invertIfNegative val="0"/>
          <c:cat>
            <c:strRef>
              <c:f>'Conditional Format v1'!$C$5:$C$11</c:f>
              <c:strCache>
                <c:ptCount val="7"/>
                <c:pt idx="0">
                  <c:v>2011             </c:v>
                </c:pt>
                <c:pt idx="1">
                  <c:v>2012             </c:v>
                </c:pt>
                <c:pt idx="2">
                  <c:v>2013             </c:v>
                </c:pt>
                <c:pt idx="3">
                  <c:v>2014             </c:v>
                </c:pt>
                <c:pt idx="4">
                  <c:v>2015             </c:v>
                </c:pt>
                <c:pt idx="5">
                  <c:v>2016             </c:v>
                </c:pt>
                <c:pt idx="6">
                  <c:v>2017             </c:v>
                </c:pt>
              </c:strCache>
            </c:strRef>
          </c:cat>
          <c:val>
            <c:numRef>
              <c:f>'Conditional Format v1'!$D$5:$D$11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FF5C-4536-B694-F9A6CBB8850E}"/>
            </c:ext>
          </c:extLst>
        </c:ser>
        <c:ser>
          <c:idx val="1"/>
          <c:order val="1"/>
          <c:tx>
            <c:strRef>
              <c:f>'Conditional Format v1'!$E$4</c:f>
              <c:strCache>
                <c:ptCount val="1"/>
                <c:pt idx="0">
                  <c:v>Invisible Bar</c:v>
                </c:pt>
              </c:strCache>
            </c:strRef>
          </c:tx>
          <c:spPr>
            <a:noFill/>
            <a:ln>
              <a:noFill/>
            </a:ln>
            <a:effectLst/>
          </c:spPr>
          <c:invertIfNegative val="0"/>
          <c:dLbls>
            <c:dLbl>
              <c:idx val="0"/>
              <c:tx>
                <c:rich>
                  <a:bodyPr/>
                  <a:lstStyle/>
                  <a:p>
                    <a:fld id="{BBA5F301-1D0C-4DD0-A096-663BC184B05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F5C-4536-B694-F9A6CBB8850E}"/>
                </c:ext>
              </c:extLst>
            </c:dLbl>
            <c:dLbl>
              <c:idx val="1"/>
              <c:tx>
                <c:rich>
                  <a:bodyPr/>
                  <a:lstStyle/>
                  <a:p>
                    <a:fld id="{FFFE6884-6F69-47D0-95F5-4B148A206D4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F5C-4536-B694-F9A6CBB8850E}"/>
                </c:ext>
              </c:extLst>
            </c:dLbl>
            <c:dLbl>
              <c:idx val="2"/>
              <c:tx>
                <c:rich>
                  <a:bodyPr/>
                  <a:lstStyle/>
                  <a:p>
                    <a:fld id="{45D8D52D-CCDA-4B17-8AE4-F75CB874859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F5C-4536-B694-F9A6CBB8850E}"/>
                </c:ext>
              </c:extLst>
            </c:dLbl>
            <c:dLbl>
              <c:idx val="3"/>
              <c:tx>
                <c:rich>
                  <a:bodyPr/>
                  <a:lstStyle/>
                  <a:p>
                    <a:fld id="{A80CB1B6-C6DA-4500-9266-FE924CA3C52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F5C-4536-B694-F9A6CBB8850E}"/>
                </c:ext>
              </c:extLst>
            </c:dLbl>
            <c:dLbl>
              <c:idx val="4"/>
              <c:tx>
                <c:rich>
                  <a:bodyPr/>
                  <a:lstStyle/>
                  <a:p>
                    <a:fld id="{F598EB74-FF42-4012-986C-58D41DF2040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F5C-4536-B694-F9A6CBB8850E}"/>
                </c:ext>
              </c:extLst>
            </c:dLbl>
            <c:dLbl>
              <c:idx val="5"/>
              <c:tx>
                <c:rich>
                  <a:bodyPr/>
                  <a:lstStyle/>
                  <a:p>
                    <a:fld id="{7BF3AC06-A0D0-4041-95F0-63573CB5A55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F5C-4536-B694-F9A6CBB8850E}"/>
                </c:ext>
              </c:extLst>
            </c:dLbl>
            <c:spPr>
              <a:no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1"/>
            <c:plus>
              <c:numRef>
                <c:f>'Conditional Format v1'!$H$5:$H$11</c:f>
                <c:numCache>
                  <c:formatCode>General</c:formatCode>
                  <c:ptCount val="7"/>
                  <c:pt idx="0">
                    <c:v>-39000</c:v>
                  </c:pt>
                  <c:pt idx="2">
                    <c:v>-117000</c:v>
                  </c:pt>
                  <c:pt idx="3">
                    <c:v>-278000</c:v>
                  </c:pt>
                  <c:pt idx="4">
                    <c:v>0</c:v>
                  </c:pt>
                  <c:pt idx="5">
                    <c:v>-213000</c:v>
                  </c:pt>
                </c:numCache>
              </c:numRef>
            </c:plus>
            <c:minus>
              <c:numRef>
                <c:f>'Conditional Format v1'!$M$5:$M$11</c:f>
                <c:numCache>
                  <c:formatCode>General</c:formatCode>
                  <c:ptCount val="7"/>
                </c:numCache>
              </c:numRef>
            </c:minus>
            <c:spPr>
              <a:noFill/>
              <a:ln w="15875" cap="flat" cmpd="sng" algn="ctr">
                <a:solidFill>
                  <a:schemeClr val="accent6"/>
                </a:solidFill>
                <a:prstDash val="solid"/>
                <a:round/>
                <a:headEnd type="triangle" w="med" len="med"/>
                <a:tailEnd type="none"/>
              </a:ln>
              <a:effectLst/>
            </c:spPr>
          </c:errBars>
          <c:cat>
            <c:strRef>
              <c:f>'Conditional Format v1'!$C$5:$C$11</c:f>
              <c:strCache>
                <c:ptCount val="7"/>
                <c:pt idx="0">
                  <c:v>2011             </c:v>
                </c:pt>
                <c:pt idx="1">
                  <c:v>2012             </c:v>
                </c:pt>
                <c:pt idx="2">
                  <c:v>2013             </c:v>
                </c:pt>
                <c:pt idx="3">
                  <c:v>2014             </c:v>
                </c:pt>
                <c:pt idx="4">
                  <c:v>2015             </c:v>
                </c:pt>
                <c:pt idx="5">
                  <c:v>2016             </c:v>
                </c:pt>
                <c:pt idx="6">
                  <c:v>2017             </c:v>
                </c:pt>
              </c:strCache>
            </c:strRef>
          </c:cat>
          <c:val>
            <c:numRef>
              <c:f>'Conditional Format v1'!$E$5:$E$10</c:f>
              <c:numCache>
                <c:formatCode>_(* #,##0_);_(* \(#,##0\);_(* "-"??_);_(@_)</c:formatCode>
                <c:ptCount val="6"/>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'Conditional Format v1'!$K$5:$K$11</c15:f>
                <c15:dlblRangeCache>
                  <c:ptCount val="7"/>
                  <c:pt idx="0">
                    <c:v>+5%</c:v>
                  </c:pt>
                  <c:pt idx="2">
                    <c:v>+32%</c:v>
                  </c:pt>
                  <c:pt idx="3">
                    <c:v>+57%</c:v>
                  </c:pt>
                  <c:pt idx="5">
                    <c:v>+38%</c:v>
                  </c:pt>
                  <c:pt idx="6">
                    <c:v>+0%</c:v>
                  </c:pt>
                </c15:dlblRangeCache>
              </c15:datalabelsRange>
            </c:ext>
            <c:ext xmlns:c16="http://schemas.microsoft.com/office/drawing/2014/chart" uri="{C3380CC4-5D6E-409C-BE32-E72D297353CC}">
              <c16:uniqueId val="{00000008-FF5C-4536-B694-F9A6CBB8850E}"/>
            </c:ext>
          </c:extLst>
        </c:ser>
        <c:ser>
          <c:idx val="2"/>
          <c:order val="2"/>
          <c:tx>
            <c:strRef>
              <c:f>'Conditional Format v1'!$F$4</c:f>
              <c:strCache>
                <c:ptCount val="1"/>
                <c:pt idx="0">
                  <c:v>Invisible Bar 2</c:v>
                </c:pt>
              </c:strCache>
            </c:strRef>
          </c:tx>
          <c:spPr>
            <a:noFill/>
            <a:ln>
              <a:noFill/>
            </a:ln>
            <a:effectLst/>
          </c:spPr>
          <c:invertIfNegative val="0"/>
          <c:dLbls>
            <c:dLbl>
              <c:idx val="0"/>
              <c:tx>
                <c:rich>
                  <a:bodyPr/>
                  <a:lstStyle/>
                  <a:p>
                    <a:fld id="{6A0FE0A4-B970-4B1B-87F0-1B5803A487C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F5C-4536-B694-F9A6CBB8850E}"/>
                </c:ext>
              </c:extLst>
            </c:dLbl>
            <c:dLbl>
              <c:idx val="1"/>
              <c:tx>
                <c:rich>
                  <a:bodyPr/>
                  <a:lstStyle/>
                  <a:p>
                    <a:fld id="{FEBFCCE5-54A1-4301-8C9D-5F91C5C2CA8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F5C-4536-B694-F9A6CBB8850E}"/>
                </c:ext>
              </c:extLst>
            </c:dLbl>
            <c:dLbl>
              <c:idx val="2"/>
              <c:tx>
                <c:rich>
                  <a:bodyPr/>
                  <a:lstStyle/>
                  <a:p>
                    <a:fld id="{183F2EF4-94E6-4265-A098-5A6A4C01326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F5C-4536-B694-F9A6CBB8850E}"/>
                </c:ext>
              </c:extLst>
            </c:dLbl>
            <c:dLbl>
              <c:idx val="3"/>
              <c:tx>
                <c:rich>
                  <a:bodyPr/>
                  <a:lstStyle/>
                  <a:p>
                    <a:fld id="{0B067BEF-34D1-4131-8D77-88D774B9D4E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F5C-4536-B694-F9A6CBB8850E}"/>
                </c:ext>
              </c:extLst>
            </c:dLbl>
            <c:dLbl>
              <c:idx val="4"/>
              <c:tx>
                <c:rich>
                  <a:bodyPr/>
                  <a:lstStyle/>
                  <a:p>
                    <a:fld id="{DD09414A-B1B1-4504-A105-40CDD0C2B6F0}"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F5C-4536-B694-F9A6CBB8850E}"/>
                </c:ext>
              </c:extLst>
            </c:dLbl>
            <c:dLbl>
              <c:idx val="5"/>
              <c:tx>
                <c:rich>
                  <a:bodyPr/>
                  <a:lstStyle/>
                  <a:p>
                    <a:fld id="{9819878F-D13B-42DB-8AAF-012AEDCA13D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F5C-4536-B694-F9A6CBB8850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1"/>
            <c:plus>
              <c:numRef>
                <c:f>'Conditional Format v1'!$M$5:$M$11</c:f>
                <c:numCache>
                  <c:formatCode>General</c:formatCode>
                  <c:ptCount val="7"/>
                </c:numCache>
              </c:numRef>
            </c:plus>
            <c:minus>
              <c:numRef>
                <c:f>'Conditional Format v1'!$I$5:$I$11</c:f>
                <c:numCache>
                  <c:formatCode>General</c:formatCode>
                  <c:ptCount val="7"/>
                  <c:pt idx="0">
                    <c:v>0</c:v>
                  </c:pt>
                  <c:pt idx="1">
                    <c:v>-445000</c:v>
                  </c:pt>
                  <c:pt idx="2">
                    <c:v>0</c:v>
                  </c:pt>
                  <c:pt idx="3">
                    <c:v>0</c:v>
                  </c:pt>
                  <c:pt idx="4">
                    <c:v>-201000</c:v>
                  </c:pt>
                  <c:pt idx="5">
                    <c:v>0</c:v>
                  </c:pt>
                </c:numCache>
              </c:numRef>
            </c:minus>
            <c:spPr>
              <a:noFill/>
              <a:ln w="15875" cap="sq" cmpd="sng" algn="ctr">
                <a:solidFill>
                  <a:srgbClr val="C00000"/>
                </a:solidFill>
                <a:round/>
                <a:headEnd type="triangle"/>
                <a:tailEnd type="none" w="med" len="med"/>
              </a:ln>
              <a:effectLst/>
            </c:spPr>
          </c:errBars>
          <c:cat>
            <c:strRef>
              <c:f>'Conditional Format v1'!$C$5:$C$11</c:f>
              <c:strCache>
                <c:ptCount val="7"/>
                <c:pt idx="0">
                  <c:v>2011             </c:v>
                </c:pt>
                <c:pt idx="1">
                  <c:v>2012             </c:v>
                </c:pt>
                <c:pt idx="2">
                  <c:v>2013             </c:v>
                </c:pt>
                <c:pt idx="3">
                  <c:v>2014             </c:v>
                </c:pt>
                <c:pt idx="4">
                  <c:v>2015             </c:v>
                </c:pt>
                <c:pt idx="5">
                  <c:v>2016             </c:v>
                </c:pt>
                <c:pt idx="6">
                  <c:v>2017             </c:v>
                </c:pt>
              </c:strCache>
            </c:strRef>
          </c:cat>
          <c:val>
            <c:numRef>
              <c:f>'Conditional Format v1'!$F$5:$F$10</c:f>
              <c:numCache>
                <c:formatCode>_(* #,##0_);_(* \(#,##0\);_(* "-"??_);_(@_)</c:formatCode>
                <c:ptCount val="6"/>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'Conditional Format v1'!$L$5:$L$10</c15:f>
                <c15:dlblRangeCache>
                  <c:ptCount val="6"/>
                  <c:pt idx="1">
                    <c:v>-55%</c:v>
                  </c:pt>
                  <c:pt idx="4">
                    <c:v>-26%</c:v>
                  </c:pt>
                </c15:dlblRangeCache>
              </c15:datalabelsRange>
            </c:ext>
            <c:ext xmlns:c16="http://schemas.microsoft.com/office/drawing/2014/chart" uri="{C3380CC4-5D6E-409C-BE32-E72D297353CC}">
              <c16:uniqueId val="{00000009-FF5C-4536-B694-F9A6CBB8850E}"/>
            </c:ext>
          </c:extLst>
        </c:ser>
        <c:dLbls>
          <c:showLegendKey val="0"/>
          <c:showVal val="0"/>
          <c:showCatName val="0"/>
          <c:showSerName val="0"/>
          <c:showPercent val="0"/>
          <c:showBubbleSize val="0"/>
        </c:dLbls>
        <c:gapWidth val="0"/>
        <c:overlap val="50"/>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png"/><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hyperlink" Target="https://www.excelcampus.com/vba/pivot-chart-title-macro/" TargetMode="External"/></Relationships>
</file>

<file path=xl/drawings/drawing1.xml><?xml version="1.0" encoding="utf-8"?>
<xdr:wsDr xmlns:xdr="http://schemas.openxmlformats.org/drawingml/2006/spreadsheetDrawing" xmlns:a="http://schemas.openxmlformats.org/drawingml/2006/main">
  <xdr:twoCellAnchor>
    <xdr:from>
      <xdr:col>12</xdr:col>
      <xdr:colOff>57150</xdr:colOff>
      <xdr:row>2</xdr:row>
      <xdr:rowOff>104775</xdr:rowOff>
    </xdr:from>
    <xdr:to>
      <xdr:col>21</xdr:col>
      <xdr:colOff>190500</xdr:colOff>
      <xdr:row>18</xdr:row>
      <xdr:rowOff>85724</xdr:rowOff>
    </xdr:to>
    <xdr:graphicFrame macro="">
      <xdr:nvGraphicFramePr>
        <xdr:cNvPr id="2" name="Chart 1">
          <a:extLst>
            <a:ext uri="{FF2B5EF4-FFF2-40B4-BE49-F238E27FC236}">
              <a16:creationId xmlns:a16="http://schemas.microsoft.com/office/drawing/2014/main" id="{309084C7-7A81-45A6-94EC-B467FA101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47625</xdr:colOff>
      <xdr:row>23</xdr:row>
      <xdr:rowOff>114300</xdr:rowOff>
    </xdr:from>
    <xdr:to>
      <xdr:col>22</xdr:col>
      <xdr:colOff>456387</xdr:colOff>
      <xdr:row>37</xdr:row>
      <xdr:rowOff>152062</xdr:rowOff>
    </xdr:to>
    <xdr:pic>
      <xdr:nvPicPr>
        <xdr:cNvPr id="5" name="Picture 4">
          <a:extLst>
            <a:ext uri="{FF2B5EF4-FFF2-40B4-BE49-F238E27FC236}">
              <a16:creationId xmlns:a16="http://schemas.microsoft.com/office/drawing/2014/main" id="{554E8CF2-52D1-4E72-B22F-7BEE01D1A88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5800" y="4543425"/>
          <a:ext cx="6504762" cy="2704762"/>
        </a:xfrm>
        <a:prstGeom prst="rect">
          <a:avLst/>
        </a:prstGeom>
      </xdr:spPr>
    </xdr:pic>
    <xdr:clientData/>
  </xdr:twoCellAnchor>
  <xdr:twoCellAnchor>
    <xdr:from>
      <xdr:col>11</xdr:col>
      <xdr:colOff>561974</xdr:colOff>
      <xdr:row>37</xdr:row>
      <xdr:rowOff>161925</xdr:rowOff>
    </xdr:from>
    <xdr:to>
      <xdr:col>15</xdr:col>
      <xdr:colOff>114299</xdr:colOff>
      <xdr:row>39</xdr:row>
      <xdr:rowOff>57150</xdr:rowOff>
    </xdr:to>
    <xdr:sp macro="" textlink="">
      <xdr:nvSpPr>
        <xdr:cNvPr id="7" name="TextBox 6">
          <a:extLst>
            <a:ext uri="{FF2B5EF4-FFF2-40B4-BE49-F238E27FC236}">
              <a16:creationId xmlns:a16="http://schemas.microsoft.com/office/drawing/2014/main" id="{C83E58EA-4046-42BA-A001-D0BF9164DF26}"/>
            </a:ext>
          </a:extLst>
        </xdr:cNvPr>
        <xdr:cNvSpPr txBox="1"/>
      </xdr:nvSpPr>
      <xdr:spPr>
        <a:xfrm>
          <a:off x="8210549" y="7258050"/>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604836</xdr:colOff>
      <xdr:row>2</xdr:row>
      <xdr:rowOff>52387</xdr:rowOff>
    </xdr:from>
    <xdr:to>
      <xdr:col>20</xdr:col>
      <xdr:colOff>361949</xdr:colOff>
      <xdr:row>17</xdr:row>
      <xdr:rowOff>85725</xdr:rowOff>
    </xdr:to>
    <xdr:graphicFrame macro="">
      <xdr:nvGraphicFramePr>
        <xdr:cNvPr id="5" name="Chart 4">
          <a:extLst>
            <a:ext uri="{FF2B5EF4-FFF2-40B4-BE49-F238E27FC236}">
              <a16:creationId xmlns:a16="http://schemas.microsoft.com/office/drawing/2014/main" id="{CB1E9CC2-F4B5-41C9-A11C-069A0AB10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28574</xdr:colOff>
      <xdr:row>2</xdr:row>
      <xdr:rowOff>19051</xdr:rowOff>
    </xdr:from>
    <xdr:to>
      <xdr:col>25</xdr:col>
      <xdr:colOff>19050</xdr:colOff>
      <xdr:row>17</xdr:row>
      <xdr:rowOff>188215</xdr:rowOff>
    </xdr:to>
    <xdr:graphicFrame macro="">
      <xdr:nvGraphicFramePr>
        <xdr:cNvPr id="2" name="Chart 1">
          <a:extLst>
            <a:ext uri="{FF2B5EF4-FFF2-40B4-BE49-F238E27FC236}">
              <a16:creationId xmlns:a16="http://schemas.microsoft.com/office/drawing/2014/main" id="{8D7DC984-4CB6-4BFC-8FE2-36B49E825D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25</xdr:col>
      <xdr:colOff>85725</xdr:colOff>
      <xdr:row>2</xdr:row>
      <xdr:rowOff>19051</xdr:rowOff>
    </xdr:from>
    <xdr:to>
      <xdr:col>26</xdr:col>
      <xdr:colOff>590550</xdr:colOff>
      <xdr:row>9</xdr:row>
      <xdr:rowOff>171452</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2408052C-EB04-449F-AFB8-E8BC868A029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6935450" y="447676"/>
              <a:ext cx="1114425" cy="1485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390524</xdr:colOff>
      <xdr:row>6</xdr:row>
      <xdr:rowOff>0</xdr:rowOff>
    </xdr:from>
    <xdr:to>
      <xdr:col>19</xdr:col>
      <xdr:colOff>609599</xdr:colOff>
      <xdr:row>20</xdr:row>
      <xdr:rowOff>180975</xdr:rowOff>
    </xdr:to>
    <xdr:graphicFrame macro="">
      <xdr:nvGraphicFramePr>
        <xdr:cNvPr id="2" name="Subject_Chart">
          <a:extLst>
            <a:ext uri="{FF2B5EF4-FFF2-40B4-BE49-F238E27FC236}">
              <a16:creationId xmlns:a16="http://schemas.microsoft.com/office/drawing/2014/main" id="{D705C2AE-BA8E-463B-9AC0-2159EC0E8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xdr:row>
      <xdr:rowOff>161925</xdr:rowOff>
    </xdr:from>
    <xdr:to>
      <xdr:col>20</xdr:col>
      <xdr:colOff>0</xdr:colOff>
      <xdr:row>5</xdr:row>
      <xdr:rowOff>123825</xdr:rowOff>
    </xdr:to>
    <xdr:sp macro="[0]!Sheet2.Adjust_Error_Bars" textlink="">
      <xdr:nvSpPr>
        <xdr:cNvPr id="3" name="Rectangle 2">
          <a:extLst>
            <a:ext uri="{FF2B5EF4-FFF2-40B4-BE49-F238E27FC236}">
              <a16:creationId xmlns:a16="http://schemas.microsoft.com/office/drawing/2014/main" id="{15BD5F83-3935-42DF-AD28-D99706B7C1D8}"/>
            </a:ext>
          </a:extLst>
        </xdr:cNvPr>
        <xdr:cNvSpPr/>
      </xdr:nvSpPr>
      <xdr:spPr>
        <a:xfrm>
          <a:off x="11353800" y="781050"/>
          <a:ext cx="1828800" cy="342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Adjust Error Bars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33336</xdr:colOff>
      <xdr:row>2</xdr:row>
      <xdr:rowOff>42862</xdr:rowOff>
    </xdr:from>
    <xdr:to>
      <xdr:col>20</xdr:col>
      <xdr:colOff>400049</xdr:colOff>
      <xdr:row>17</xdr:row>
      <xdr:rowOff>76200</xdr:rowOff>
    </xdr:to>
    <xdr:graphicFrame macro="">
      <xdr:nvGraphicFramePr>
        <xdr:cNvPr id="2" name="Chart 1">
          <a:extLst>
            <a:ext uri="{FF2B5EF4-FFF2-40B4-BE49-F238E27FC236}">
              <a16:creationId xmlns:a16="http://schemas.microsoft.com/office/drawing/2014/main" id="{C137B033-C95F-44E9-B2CC-F9494AC89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581025</xdr:colOff>
      <xdr:row>2</xdr:row>
      <xdr:rowOff>38100</xdr:rowOff>
    </xdr:from>
    <xdr:to>
      <xdr:col>22</xdr:col>
      <xdr:colOff>476250</xdr:colOff>
      <xdr:row>10</xdr:row>
      <xdr:rowOff>1</xdr:rowOff>
    </xdr:to>
    <mc:AlternateContent xmlns:mc="http://schemas.openxmlformats.org/markup-compatibility/2006" xmlns:a14="http://schemas.microsoft.com/office/drawing/2010/main">
      <mc:Choice Requires="a14">
        <xdr:graphicFrame macro="">
          <xdr:nvGraphicFramePr>
            <xdr:cNvPr id="3" name="Region 2">
              <a:extLst>
                <a:ext uri="{FF2B5EF4-FFF2-40B4-BE49-F238E27FC236}">
                  <a16:creationId xmlns:a16="http://schemas.microsoft.com/office/drawing/2014/main" id="{643D2F10-E1F1-4EA0-BA4F-C8267D6A549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3449300" y="466725"/>
              <a:ext cx="1114425" cy="1485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276225</xdr:colOff>
      <xdr:row>2</xdr:row>
      <xdr:rowOff>161925</xdr:rowOff>
    </xdr:from>
    <xdr:to>
      <xdr:col>9</xdr:col>
      <xdr:colOff>287494</xdr:colOff>
      <xdr:row>14</xdr:row>
      <xdr:rowOff>161925</xdr:rowOff>
    </xdr:to>
    <xdr:pic>
      <xdr:nvPicPr>
        <xdr:cNvPr id="2" name="Picture 1">
          <a:extLst>
            <a:ext uri="{FF2B5EF4-FFF2-40B4-BE49-F238E27FC236}">
              <a16:creationId xmlns:a16="http://schemas.microsoft.com/office/drawing/2014/main" id="{A3284E53-9903-4A81-B81D-A9D50142C17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225" y="590550"/>
          <a:ext cx="5497669" cy="2286000"/>
        </a:xfrm>
        <a:prstGeom prst="rect">
          <a:avLst/>
        </a:prstGeom>
      </xdr:spPr>
    </xdr:pic>
    <xdr:clientData/>
  </xdr:twoCellAnchor>
  <xdr:twoCellAnchor>
    <xdr:from>
      <xdr:col>0</xdr:col>
      <xdr:colOff>276225</xdr:colOff>
      <xdr:row>14</xdr:row>
      <xdr:rowOff>133350</xdr:rowOff>
    </xdr:from>
    <xdr:to>
      <xdr:col>3</xdr:col>
      <xdr:colOff>438150</xdr:colOff>
      <xdr:row>16</xdr:row>
      <xdr:rowOff>28575</xdr:rowOff>
    </xdr:to>
    <xdr:sp macro="" textlink="">
      <xdr:nvSpPr>
        <xdr:cNvPr id="3" name="TextBox 2">
          <a:extLst>
            <a:ext uri="{FF2B5EF4-FFF2-40B4-BE49-F238E27FC236}">
              <a16:creationId xmlns:a16="http://schemas.microsoft.com/office/drawing/2014/main" id="{8143F7DD-91BE-467A-8C38-5D891742B07A}"/>
            </a:ext>
          </a:extLst>
        </xdr:cNvPr>
        <xdr:cNvSpPr txBox="1"/>
      </xdr:nvSpPr>
      <xdr:spPr>
        <a:xfrm>
          <a:off x="276225" y="2847975"/>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twoCellAnchor>
    <xdr:from>
      <xdr:col>0</xdr:col>
      <xdr:colOff>276225</xdr:colOff>
      <xdr:row>17</xdr:row>
      <xdr:rowOff>123826</xdr:rowOff>
    </xdr:from>
    <xdr:to>
      <xdr:col>9</xdr:col>
      <xdr:colOff>314325</xdr:colOff>
      <xdr:row>33</xdr:row>
      <xdr:rowOff>28576</xdr:rowOff>
    </xdr:to>
    <xdr:graphicFrame macro="">
      <xdr:nvGraphicFramePr>
        <xdr:cNvPr id="4" name="Chart 3">
          <a:extLst>
            <a:ext uri="{FF2B5EF4-FFF2-40B4-BE49-F238E27FC236}">
              <a16:creationId xmlns:a16="http://schemas.microsoft.com/office/drawing/2014/main" id="{CAE5464C-2F7B-4AFB-9D5B-3E714E39E5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276225</xdr:colOff>
      <xdr:row>38</xdr:row>
      <xdr:rowOff>161925</xdr:rowOff>
    </xdr:from>
    <xdr:to>
      <xdr:col>9</xdr:col>
      <xdr:colOff>333375</xdr:colOff>
      <xdr:row>54</xdr:row>
      <xdr:rowOff>0</xdr:rowOff>
    </xdr:to>
    <xdr:graphicFrame macro="">
      <xdr:nvGraphicFramePr>
        <xdr:cNvPr id="5" name="Chart 4">
          <a:extLst>
            <a:ext uri="{FF2B5EF4-FFF2-40B4-BE49-F238E27FC236}">
              <a16:creationId xmlns:a16="http://schemas.microsoft.com/office/drawing/2014/main" id="{58004562-3686-4FFA-8106-C62CAD9D1E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276225</xdr:colOff>
      <xdr:row>61</xdr:row>
      <xdr:rowOff>76200</xdr:rowOff>
    </xdr:from>
    <xdr:to>
      <xdr:col>9</xdr:col>
      <xdr:colOff>352425</xdr:colOff>
      <xdr:row>76</xdr:row>
      <xdr:rowOff>28575</xdr:rowOff>
    </xdr:to>
    <xdr:graphicFrame macro="">
      <xdr:nvGraphicFramePr>
        <xdr:cNvPr id="6" name="Subject_Chart">
          <a:extLst>
            <a:ext uri="{FF2B5EF4-FFF2-40B4-BE49-F238E27FC236}">
              <a16:creationId xmlns:a16="http://schemas.microsoft.com/office/drawing/2014/main" id="{78A8147D-A2F0-4257-A743-B5CE32C11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276225</xdr:colOff>
      <xdr:row>81</xdr:row>
      <xdr:rowOff>104775</xdr:rowOff>
    </xdr:from>
    <xdr:to>
      <xdr:col>9</xdr:col>
      <xdr:colOff>352424</xdr:colOff>
      <xdr:row>96</xdr:row>
      <xdr:rowOff>57150</xdr:rowOff>
    </xdr:to>
    <xdr:graphicFrame macro="">
      <xdr:nvGraphicFramePr>
        <xdr:cNvPr id="7" name="Chart 6">
          <a:extLst>
            <a:ext uri="{FF2B5EF4-FFF2-40B4-BE49-F238E27FC236}">
              <a16:creationId xmlns:a16="http://schemas.microsoft.com/office/drawing/2014/main" id="{E610390B-016F-4493-8988-4E7E2E1B0A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57150</xdr:colOff>
      <xdr:row>2</xdr:row>
      <xdr:rowOff>104775</xdr:rowOff>
    </xdr:from>
    <xdr:to>
      <xdr:col>21</xdr:col>
      <xdr:colOff>190500</xdr:colOff>
      <xdr:row>18</xdr:row>
      <xdr:rowOff>85724</xdr:rowOff>
    </xdr:to>
    <xdr:graphicFrame macro="">
      <xdr:nvGraphicFramePr>
        <xdr:cNvPr id="2" name="Chart 1">
          <a:extLst>
            <a:ext uri="{FF2B5EF4-FFF2-40B4-BE49-F238E27FC236}">
              <a16:creationId xmlns:a16="http://schemas.microsoft.com/office/drawing/2014/main" id="{F1B7D889-496F-4DCB-93B7-7016A9E755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47625</xdr:colOff>
      <xdr:row>23</xdr:row>
      <xdr:rowOff>114300</xdr:rowOff>
    </xdr:from>
    <xdr:to>
      <xdr:col>22</xdr:col>
      <xdr:colOff>456387</xdr:colOff>
      <xdr:row>37</xdr:row>
      <xdr:rowOff>152062</xdr:rowOff>
    </xdr:to>
    <xdr:pic>
      <xdr:nvPicPr>
        <xdr:cNvPr id="3" name="Picture 2">
          <a:extLst>
            <a:ext uri="{FF2B5EF4-FFF2-40B4-BE49-F238E27FC236}">
              <a16:creationId xmlns:a16="http://schemas.microsoft.com/office/drawing/2014/main" id="{5D132E3C-F156-4C69-8177-2B16D347EA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5800" y="4543425"/>
          <a:ext cx="6504762" cy="2704762"/>
        </a:xfrm>
        <a:prstGeom prst="rect">
          <a:avLst/>
        </a:prstGeom>
      </xdr:spPr>
    </xdr:pic>
    <xdr:clientData/>
  </xdr:twoCellAnchor>
  <xdr:twoCellAnchor>
    <xdr:from>
      <xdr:col>11</xdr:col>
      <xdr:colOff>561974</xdr:colOff>
      <xdr:row>37</xdr:row>
      <xdr:rowOff>161925</xdr:rowOff>
    </xdr:from>
    <xdr:to>
      <xdr:col>15</xdr:col>
      <xdr:colOff>114299</xdr:colOff>
      <xdr:row>39</xdr:row>
      <xdr:rowOff>57150</xdr:rowOff>
    </xdr:to>
    <xdr:sp macro="" textlink="">
      <xdr:nvSpPr>
        <xdr:cNvPr id="4" name="TextBox 3">
          <a:extLst>
            <a:ext uri="{FF2B5EF4-FFF2-40B4-BE49-F238E27FC236}">
              <a16:creationId xmlns:a16="http://schemas.microsoft.com/office/drawing/2014/main" id="{5AC88C17-D8E4-4420-8F79-0A632D4FE288}"/>
            </a:ext>
          </a:extLst>
        </xdr:cNvPr>
        <xdr:cNvSpPr txBox="1"/>
      </xdr:nvSpPr>
      <xdr:spPr>
        <a:xfrm>
          <a:off x="8210549" y="7258050"/>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28575</xdr:colOff>
      <xdr:row>2</xdr:row>
      <xdr:rowOff>180976</xdr:rowOff>
    </xdr:from>
    <xdr:to>
      <xdr:col>23</xdr:col>
      <xdr:colOff>165735</xdr:colOff>
      <xdr:row>18</xdr:row>
      <xdr:rowOff>159640</xdr:rowOff>
    </xdr:to>
    <xdr:graphicFrame macro="">
      <xdr:nvGraphicFramePr>
        <xdr:cNvPr id="2" name="Chart 1">
          <a:extLst>
            <a:ext uri="{FF2B5EF4-FFF2-40B4-BE49-F238E27FC236}">
              <a16:creationId xmlns:a16="http://schemas.microsoft.com/office/drawing/2014/main" id="{8A535E03-812F-49CF-95FA-790EE6F70A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561974</xdr:colOff>
      <xdr:row>37</xdr:row>
      <xdr:rowOff>161925</xdr:rowOff>
    </xdr:from>
    <xdr:to>
      <xdr:col>16</xdr:col>
      <xdr:colOff>114299</xdr:colOff>
      <xdr:row>39</xdr:row>
      <xdr:rowOff>57150</xdr:rowOff>
    </xdr:to>
    <xdr:sp macro="" textlink="">
      <xdr:nvSpPr>
        <xdr:cNvPr id="4" name="TextBox 3">
          <a:extLst>
            <a:ext uri="{FF2B5EF4-FFF2-40B4-BE49-F238E27FC236}">
              <a16:creationId xmlns:a16="http://schemas.microsoft.com/office/drawing/2014/main" id="{57CDDF1B-C19C-4761-9E62-118F39D3884B}"/>
            </a:ext>
          </a:extLst>
        </xdr:cNvPr>
        <xdr:cNvSpPr txBox="1"/>
      </xdr:nvSpPr>
      <xdr:spPr>
        <a:xfrm>
          <a:off x="8210549" y="7258050"/>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2</xdr:row>
      <xdr:rowOff>85726</xdr:rowOff>
    </xdr:from>
    <xdr:to>
      <xdr:col>5</xdr:col>
      <xdr:colOff>19050</xdr:colOff>
      <xdr:row>10</xdr:row>
      <xdr:rowOff>9526</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69C779AC-DB81-4943-B9C0-5F90863E4D5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24125" y="466726"/>
              <a:ext cx="123825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9525</xdr:colOff>
      <xdr:row>3</xdr:row>
      <xdr:rowOff>0</xdr:rowOff>
    </xdr:from>
    <xdr:to>
      <xdr:col>13</xdr:col>
      <xdr:colOff>390525</xdr:colOff>
      <xdr:row>7</xdr:row>
      <xdr:rowOff>85725</xdr:rowOff>
    </xdr:to>
    <xdr:sp macro="" textlink="">
      <xdr:nvSpPr>
        <xdr:cNvPr id="3" name="Speech Bubble: Rectangle 2">
          <a:hlinkClick xmlns:r="http://schemas.openxmlformats.org/officeDocument/2006/relationships" r:id="rId1"/>
          <a:extLst>
            <a:ext uri="{FF2B5EF4-FFF2-40B4-BE49-F238E27FC236}">
              <a16:creationId xmlns:a16="http://schemas.microsoft.com/office/drawing/2014/main" id="{98FD6BE0-5435-4DC9-8CDE-B23DD58582EA}"/>
            </a:ext>
          </a:extLst>
        </xdr:cNvPr>
        <xdr:cNvSpPr/>
      </xdr:nvSpPr>
      <xdr:spPr>
        <a:xfrm>
          <a:off x="4972050" y="571500"/>
          <a:ext cx="4038600" cy="847725"/>
        </a:xfrm>
        <a:prstGeom prst="wedgeRectCallout">
          <a:avLst>
            <a:gd name="adj1" fmla="val -54249"/>
            <a:gd name="adj2" fmla="val -88062"/>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Checkout this post to learn a</a:t>
          </a:r>
          <a:r>
            <a:rPr lang="en-US" sz="1200" baseline="0"/>
            <a:t> similar technique for creating dynamic chart titles.</a:t>
          </a:r>
        </a:p>
        <a:p>
          <a:pPr algn="l"/>
          <a:endParaRPr lang="en-US" sz="1200"/>
        </a:p>
        <a:p>
          <a:pPr algn="l"/>
          <a:r>
            <a:rPr lang="en-US" sz="1200" u="sng"/>
            <a:t>https://www.excelcampus.com/vba/pivot-chart-title-macro/</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n Acampora" refreshedDate="43409.383233101849" missingItemsLimit="0" createdVersion="6" refreshedVersion="6" minRefreshableVersion="3" recordCount="28" xr:uid="{AEF03A76-008D-4FA5-9B75-000A520A0EB3}">
  <cacheSource type="worksheet">
    <worksheetSource name="Table1"/>
  </cacheSource>
  <cacheFields count="3">
    <cacheField name="Year" numFmtId="0">
      <sharedItems containsSemiMixedTypes="0" containsString="0" containsNumber="1" containsInteger="1" minValue="2011" maxValue="2017" count="7">
        <n v="2011"/>
        <n v="2012"/>
        <n v="2013"/>
        <n v="2014"/>
        <n v="2015"/>
        <n v="2016"/>
        <n v="2017"/>
      </sharedItems>
    </cacheField>
    <cacheField name="Region" numFmtId="0">
      <sharedItems count="4">
        <s v="North"/>
        <s v="South"/>
        <s v="East"/>
        <s v="West"/>
      </sharedItems>
    </cacheField>
    <cacheField name="Revenue" numFmtId="164">
      <sharedItems containsSemiMixedTypes="0" containsString="0" containsNumber="1" containsInteger="1" minValue="102733" maxValue="206496"/>
    </cacheField>
  </cacheFields>
  <extLst>
    <ext xmlns:x14="http://schemas.microsoft.com/office/spreadsheetml/2009/9/main" uri="{725AE2AE-9491-48be-B2B4-4EB974FC3084}">
      <x14:pivotCacheDefinition pivotCacheId="17704829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x v="0"/>
    <n v="148948"/>
  </r>
  <r>
    <x v="1"/>
    <x v="0"/>
    <n v="198068"/>
  </r>
  <r>
    <x v="2"/>
    <x v="0"/>
    <n v="176858"/>
  </r>
  <r>
    <x v="3"/>
    <x v="0"/>
    <n v="121785"/>
  </r>
  <r>
    <x v="4"/>
    <x v="0"/>
    <n v="102733"/>
  </r>
  <r>
    <x v="5"/>
    <x v="0"/>
    <n v="153815"/>
  </r>
  <r>
    <x v="6"/>
    <x v="0"/>
    <n v="206496"/>
  </r>
  <r>
    <x v="0"/>
    <x v="1"/>
    <n v="154265"/>
  </r>
  <r>
    <x v="1"/>
    <x v="1"/>
    <n v="144675"/>
  </r>
  <r>
    <x v="2"/>
    <x v="1"/>
    <n v="185661"/>
  </r>
  <r>
    <x v="3"/>
    <x v="1"/>
    <n v="140284"/>
  </r>
  <r>
    <x v="4"/>
    <x v="1"/>
    <n v="196037"/>
  </r>
  <r>
    <x v="5"/>
    <x v="1"/>
    <n v="177365"/>
  </r>
  <r>
    <x v="6"/>
    <x v="1"/>
    <n v="151178"/>
  </r>
  <r>
    <x v="0"/>
    <x v="2"/>
    <n v="163143"/>
  </r>
  <r>
    <x v="1"/>
    <x v="2"/>
    <n v="116394"/>
  </r>
  <r>
    <x v="2"/>
    <x v="2"/>
    <n v="110816"/>
  </r>
  <r>
    <x v="3"/>
    <x v="2"/>
    <n v="145228"/>
  </r>
  <r>
    <x v="4"/>
    <x v="2"/>
    <n v="133629"/>
  </r>
  <r>
    <x v="5"/>
    <x v="2"/>
    <n v="161632"/>
  </r>
  <r>
    <x v="6"/>
    <x v="2"/>
    <n v="157855"/>
  </r>
  <r>
    <x v="0"/>
    <x v="3"/>
    <n v="146364"/>
  </r>
  <r>
    <x v="1"/>
    <x v="3"/>
    <n v="174686"/>
  </r>
  <r>
    <x v="2"/>
    <x v="3"/>
    <n v="195025"/>
  </r>
  <r>
    <x v="3"/>
    <x v="3"/>
    <n v="136122"/>
  </r>
  <r>
    <x v="4"/>
    <x v="3"/>
    <n v="137497"/>
  </r>
  <r>
    <x v="5"/>
    <x v="3"/>
    <n v="169893"/>
  </r>
  <r>
    <x v="6"/>
    <x v="3"/>
    <n v="1830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78DA86-3D87-4C7C-9900-9B1A76E1A99B}" name="PivotTable1" cacheId="0" applyNumberFormats="0" applyBorderFormats="0" applyFontFormats="0" applyPatternFormats="0" applyAlignmentFormats="0" applyWidthHeightFormats="1" dataCaption="Values" updatedVersion="7" minRefreshableVersion="3" useAutoFormatting="1" itemPrintTitles="1" createdVersion="6" indent="0" multipleFieldFilters="0">
  <location ref="A3:B11" firstHeaderRow="1" firstDataRow="1" firstDataCol="1" rowPageCount="1" colPageCount="1"/>
  <pivotFields count="3">
    <pivotField axis="axisRow" showAll="0">
      <items count="8">
        <item x="0"/>
        <item x="1"/>
        <item x="2"/>
        <item x="3"/>
        <item x="4"/>
        <item x="5"/>
        <item x="6"/>
        <item t="default"/>
      </items>
    </pivotField>
    <pivotField axis="axisPage" multipleItemSelectionAllowed="1" showAll="0">
      <items count="5">
        <item h="1" x="2"/>
        <item h="1" x="0"/>
        <item h="1" x="1"/>
        <item x="3"/>
        <item t="default"/>
      </items>
    </pivotField>
    <pivotField dataField="1" numFmtId="164" showAll="0"/>
  </pivotFields>
  <rowFields count="1">
    <field x="0"/>
  </rowFields>
  <rowItems count="8">
    <i>
      <x/>
    </i>
    <i>
      <x v="1"/>
    </i>
    <i>
      <x v="2"/>
    </i>
    <i>
      <x v="3"/>
    </i>
    <i>
      <x v="4"/>
    </i>
    <i>
      <x v="5"/>
    </i>
    <i>
      <x v="6"/>
    </i>
    <i t="grand">
      <x/>
    </i>
  </rowItems>
  <colItems count="1">
    <i/>
  </colItems>
  <pageFields count="1">
    <pageField fld="1" hier="-1"/>
  </pageFields>
  <dataFields count="1">
    <dataField name="Sum of Revenue" fld="2"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8C7B68C-B674-41FC-995E-1487D83B1643}" sourceName="Region">
  <pivotTables>
    <pivotTable tabId="13" name="PivotTable1"/>
  </pivotTables>
  <data>
    <tabular pivotCacheId="1770482956">
      <items count="4">
        <i x="2"/>
        <i x="0"/>
        <i x="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DFF7733-16F0-436B-8B8A-7A0DDCCF94E5}" cache="Slicer_Region" caption="Region"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BCD26C3C-6CDC-4EA8-81AE-2340AA1E5FFF}" cache="Slicer_Region" caption="Region" style="SlicerStyleOther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73C0912-A9A2-4D6F-B2C1-06056575B807}" cache="Slicer_Region" caption="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F6A154-6800-459F-B456-DAA0B791838F}" name="Table1" displayName="Table1" ref="A1:C29" totalsRowShown="0">
  <autoFilter ref="A1:C29" xr:uid="{8BB0824F-C4E8-4B74-A8BF-E20C937FDA61}"/>
  <tableColumns count="3">
    <tableColumn id="1" xr3:uid="{4F0613B4-EC6E-4C09-848D-7B2B3A886B54}" name="Year"/>
    <tableColumn id="2" xr3:uid="{79326099-E690-429C-BA05-EEFE8FB7DE43}" name="Region"/>
    <tableColumn id="3" xr3:uid="{81092996-1EDB-428E-87AD-0ACC8F16B824}" name="Revenue"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peltiertech.com/revenue-chart-showing-year-over-year-variances/" TargetMode="External"/><Relationship Id="rId6" Type="http://schemas.openxmlformats.org/officeDocument/2006/relationships/comments" Target="../comments5.xml"/><Relationship Id="rId5" Type="http://schemas.microsoft.com/office/2007/relationships/slicer" Target="../slicers/slicer2.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excelcampus.com/charts/column-chart-percentage-chang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91C85-C9F3-4E7A-A3F7-275C78297213}">
  <sheetPr codeName="Sheet1"/>
  <dimension ref="A1:AD45"/>
  <sheetViews>
    <sheetView showGridLines="0" topLeftCell="A25" workbookViewId="0">
      <selection activeCell="C1" sqref="C1"/>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1.5703125" bestFit="1" customWidth="1"/>
    <col min="7" max="8" width="9.7109375" bestFit="1" customWidth="1"/>
    <col min="9" max="9" width="10.7109375" bestFit="1" customWidth="1"/>
  </cols>
  <sheetData>
    <row r="1" spans="1:30" ht="18.75" x14ac:dyDescent="0.3">
      <c r="A1" s="6" t="s">
        <v>11</v>
      </c>
      <c r="M1" s="6" t="s">
        <v>11</v>
      </c>
    </row>
    <row r="2" spans="1:30" x14ac:dyDescent="0.25">
      <c r="AD2" s="9" t="s">
        <v>9</v>
      </c>
    </row>
    <row r="3" spans="1:30" x14ac:dyDescent="0.25">
      <c r="C3">
        <v>13</v>
      </c>
      <c r="D3" s="7" t="s">
        <v>8</v>
      </c>
    </row>
    <row r="4" spans="1:30" x14ac:dyDescent="0.25">
      <c r="A4" s="2" t="s">
        <v>6</v>
      </c>
      <c r="B4" s="2" t="s">
        <v>0</v>
      </c>
      <c r="C4" s="3" t="s">
        <v>7</v>
      </c>
      <c r="D4" s="12" t="s">
        <v>10</v>
      </c>
      <c r="E4" s="3" t="s">
        <v>5</v>
      </c>
      <c r="F4" s="3" t="s">
        <v>1</v>
      </c>
      <c r="G4" s="3" t="s">
        <v>3</v>
      </c>
      <c r="H4" s="3" t="s">
        <v>4</v>
      </c>
      <c r="I4" s="3" t="s">
        <v>2</v>
      </c>
    </row>
    <row r="5" spans="1:30" x14ac:dyDescent="0.25">
      <c r="A5" s="4">
        <v>2011</v>
      </c>
      <c r="B5" s="8">
        <v>773000</v>
      </c>
      <c r="C5" s="10" t="str">
        <f t="shared" ref="C5:C11" si="0">A5&amp;REPT(" ",$C$3)</f>
        <v xml:space="preserve">2011             </v>
      </c>
      <c r="D5" s="13">
        <f>B5</f>
        <v>773000</v>
      </c>
      <c r="E5" s="11">
        <f>B6</f>
        <v>812000</v>
      </c>
      <c r="F5" s="8">
        <f t="shared" ref="F5:F10" si="1">B6-B5</f>
        <v>39000</v>
      </c>
      <c r="G5" s="8">
        <f t="shared" ref="G5:G7" si="2">IF(F5&gt;=0,-F5,"")</f>
        <v>-39000</v>
      </c>
      <c r="H5" s="8" t="str">
        <f t="shared" ref="H5" si="3">IF(F5&lt;0,F5,"")</f>
        <v/>
      </c>
      <c r="I5" s="5">
        <f>IFERROR((B6-B5)/B5,0)</f>
        <v>5.0452781371280724E-2</v>
      </c>
    </row>
    <row r="6" spans="1:30" x14ac:dyDescent="0.25">
      <c r="A6" s="4">
        <v>2012</v>
      </c>
      <c r="B6" s="8">
        <v>812000</v>
      </c>
      <c r="C6" s="10" t="str">
        <f t="shared" si="0"/>
        <v xml:space="preserve">2012             </v>
      </c>
      <c r="D6" s="13">
        <f t="shared" ref="D6:D11" si="4">B6</f>
        <v>812000</v>
      </c>
      <c r="E6" s="11">
        <f t="shared" ref="E6:E10" si="5">B7</f>
        <v>367000</v>
      </c>
      <c r="F6" s="8">
        <f t="shared" si="1"/>
        <v>-445000</v>
      </c>
      <c r="G6" s="8" t="str">
        <f t="shared" si="2"/>
        <v/>
      </c>
      <c r="H6" s="8">
        <f>IF(F6&lt;0,F6,"")</f>
        <v>-445000</v>
      </c>
      <c r="I6" s="5">
        <f>IFERROR((B7 - B6)/B6,0)</f>
        <v>-0.54802955665024633</v>
      </c>
    </row>
    <row r="7" spans="1:30" x14ac:dyDescent="0.25">
      <c r="A7" s="4">
        <v>2013</v>
      </c>
      <c r="B7" s="8">
        <v>367000</v>
      </c>
      <c r="C7" s="10" t="str">
        <f t="shared" si="0"/>
        <v xml:space="preserve">2013             </v>
      </c>
      <c r="D7" s="13">
        <f t="shared" si="4"/>
        <v>367000</v>
      </c>
      <c r="E7" s="11">
        <f t="shared" si="5"/>
        <v>484000</v>
      </c>
      <c r="F7" s="8">
        <f t="shared" si="1"/>
        <v>117000</v>
      </c>
      <c r="G7" s="8">
        <f t="shared" si="2"/>
        <v>-117000</v>
      </c>
      <c r="H7" s="8" t="str">
        <f t="shared" ref="H7:H10" si="6">IF(F7&lt;0,F7,"")</f>
        <v/>
      </c>
      <c r="I7" s="5">
        <f>IFERROR((B8 - B7)/B7,0)</f>
        <v>0.31880108991825612</v>
      </c>
    </row>
    <row r="8" spans="1:30" x14ac:dyDescent="0.25">
      <c r="A8" s="4">
        <v>2014</v>
      </c>
      <c r="B8" s="8">
        <v>484000</v>
      </c>
      <c r="C8" s="10" t="str">
        <f t="shared" si="0"/>
        <v xml:space="preserve">2014             </v>
      </c>
      <c r="D8" s="13">
        <f t="shared" si="4"/>
        <v>484000</v>
      </c>
      <c r="E8" s="11">
        <f t="shared" si="5"/>
        <v>762000</v>
      </c>
      <c r="F8" s="8">
        <f t="shared" si="1"/>
        <v>278000</v>
      </c>
      <c r="G8" s="8">
        <f>IF(F8&gt;=0,-F8,"")</f>
        <v>-278000</v>
      </c>
      <c r="H8" s="8" t="str">
        <f t="shared" si="6"/>
        <v/>
      </c>
      <c r="I8" s="5">
        <f>IFERROR((B9 - B8)/B8,0)</f>
        <v>0.57438016528925617</v>
      </c>
    </row>
    <row r="9" spans="1:30" x14ac:dyDescent="0.25">
      <c r="A9" s="4">
        <v>2015</v>
      </c>
      <c r="B9" s="8">
        <v>762000</v>
      </c>
      <c r="C9" s="10" t="str">
        <f t="shared" si="0"/>
        <v xml:space="preserve">2015             </v>
      </c>
      <c r="D9" s="13">
        <f t="shared" si="4"/>
        <v>762000</v>
      </c>
      <c r="E9" s="11">
        <f t="shared" si="5"/>
        <v>561000</v>
      </c>
      <c r="F9" s="8">
        <f t="shared" si="1"/>
        <v>-201000</v>
      </c>
      <c r="G9" s="8" t="str">
        <f t="shared" ref="G9:G10" si="7">IF(F9&gt;=0,-F9,"")</f>
        <v/>
      </c>
      <c r="H9" s="8">
        <f t="shared" si="6"/>
        <v>-201000</v>
      </c>
      <c r="I9" s="5">
        <f>IFERROR((B10 - B9)/B9,0)</f>
        <v>-0.26377952755905509</v>
      </c>
    </row>
    <row r="10" spans="1:30" x14ac:dyDescent="0.25">
      <c r="A10" s="4">
        <v>2016</v>
      </c>
      <c r="B10" s="8">
        <v>561000</v>
      </c>
      <c r="C10" s="10" t="str">
        <f t="shared" si="0"/>
        <v xml:space="preserve">2016             </v>
      </c>
      <c r="D10" s="13">
        <f t="shared" si="4"/>
        <v>561000</v>
      </c>
      <c r="E10" s="11">
        <f t="shared" si="5"/>
        <v>774000</v>
      </c>
      <c r="F10" s="8">
        <f t="shared" si="1"/>
        <v>213000</v>
      </c>
      <c r="G10" s="8">
        <f t="shared" si="7"/>
        <v>-213000</v>
      </c>
      <c r="H10" s="8" t="str">
        <f t="shared" si="6"/>
        <v/>
      </c>
      <c r="I10" s="5">
        <f>IFERROR((B11 - B10)/B10,0)</f>
        <v>0.37967914438502676</v>
      </c>
    </row>
    <row r="11" spans="1:30" x14ac:dyDescent="0.25">
      <c r="A11" s="4">
        <v>2017</v>
      </c>
      <c r="B11" s="8">
        <v>774000</v>
      </c>
      <c r="C11" s="10" t="str">
        <f t="shared" si="0"/>
        <v xml:space="preserve">2017             </v>
      </c>
      <c r="D11" s="13">
        <f t="shared" si="4"/>
        <v>774000</v>
      </c>
      <c r="E11" s="11"/>
      <c r="F11" s="8"/>
      <c r="G11" s="8"/>
      <c r="H11" s="8"/>
      <c r="I11" s="5"/>
    </row>
    <row r="45" spans="25:25" x14ac:dyDescent="0.25">
      <c r="Y45" s="9" t="s">
        <v>9</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635-7A27-4FD6-BBEC-6319BBC4BB70}">
  <sheetPr codeName="Sheet21"/>
  <dimension ref="A1:AD11"/>
  <sheetViews>
    <sheetView showGridLines="0" tabSelected="1" workbookViewId="0">
      <selection activeCell="K16" sqref="K16"/>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1.5703125" bestFit="1" customWidth="1"/>
    <col min="7" max="8" width="9.7109375" bestFit="1" customWidth="1"/>
    <col min="9" max="9" width="10.7109375" bestFit="1" customWidth="1"/>
  </cols>
  <sheetData>
    <row r="1" spans="1:30" ht="18.75" x14ac:dyDescent="0.3">
      <c r="A1" s="6" t="s">
        <v>11</v>
      </c>
      <c r="M1" s="6" t="s">
        <v>11</v>
      </c>
    </row>
    <row r="2" spans="1:30" x14ac:dyDescent="0.25">
      <c r="AD2" s="9" t="s">
        <v>9</v>
      </c>
    </row>
    <row r="3" spans="1:30" x14ac:dyDescent="0.25">
      <c r="C3">
        <v>13</v>
      </c>
      <c r="D3" s="7" t="s">
        <v>8</v>
      </c>
    </row>
    <row r="4" spans="1:30" x14ac:dyDescent="0.25">
      <c r="A4" s="2" t="s">
        <v>6</v>
      </c>
      <c r="B4" s="2" t="s">
        <v>0</v>
      </c>
      <c r="C4" s="3" t="s">
        <v>7</v>
      </c>
      <c r="D4" s="12" t="s">
        <v>10</v>
      </c>
      <c r="E4" s="3" t="s">
        <v>5</v>
      </c>
      <c r="F4" s="3" t="s">
        <v>1</v>
      </c>
      <c r="G4" s="3" t="s">
        <v>3</v>
      </c>
      <c r="H4" s="3" t="s">
        <v>4</v>
      </c>
      <c r="I4" s="3" t="s">
        <v>2</v>
      </c>
    </row>
    <row r="5" spans="1:30" x14ac:dyDescent="0.25">
      <c r="A5" s="4">
        <v>2011</v>
      </c>
      <c r="B5" s="8">
        <v>773000</v>
      </c>
      <c r="C5" s="10" t="str">
        <f t="shared" ref="C5:C11" si="0">A5&amp;REPT(" ",$C$3)</f>
        <v xml:space="preserve">2011             </v>
      </c>
      <c r="D5" s="13">
        <f>B5</f>
        <v>773000</v>
      </c>
      <c r="E5" s="13">
        <f>B6</f>
        <v>812000</v>
      </c>
      <c r="F5" s="8">
        <f t="shared" ref="F5:F10" si="1">B6-B5</f>
        <v>39000</v>
      </c>
      <c r="G5" s="8">
        <f t="shared" ref="G5:G7" si="2">IF(F5&gt;=0,-F5,"")</f>
        <v>-39000</v>
      </c>
      <c r="H5" s="8" t="str">
        <f t="shared" ref="H5" si="3">IF(F5&lt;0,F5,"")</f>
        <v/>
      </c>
      <c r="I5" s="5">
        <f>IFERROR((B6-B5)/B5,0)</f>
        <v>5.0452781371280724E-2</v>
      </c>
    </row>
    <row r="6" spans="1:30" x14ac:dyDescent="0.25">
      <c r="A6" s="4">
        <v>2012</v>
      </c>
      <c r="B6" s="8">
        <v>812000</v>
      </c>
      <c r="C6" s="10" t="str">
        <f t="shared" si="0"/>
        <v xml:space="preserve">2012             </v>
      </c>
      <c r="D6" s="13">
        <f t="shared" ref="D6:D11" si="4">B6</f>
        <v>812000</v>
      </c>
      <c r="E6" s="13">
        <f t="shared" ref="E6:E10" si="5">B7</f>
        <v>367000</v>
      </c>
      <c r="F6" s="8">
        <f t="shared" si="1"/>
        <v>-445000</v>
      </c>
      <c r="G6" s="8" t="str">
        <f t="shared" si="2"/>
        <v/>
      </c>
      <c r="H6" s="8">
        <f>IF(F6&lt;0,F6,"")</f>
        <v>-445000</v>
      </c>
      <c r="I6" s="5">
        <f>IFERROR((B7 - B6)/B6,0)</f>
        <v>-0.54802955665024633</v>
      </c>
    </row>
    <row r="7" spans="1:30" x14ac:dyDescent="0.25">
      <c r="A7" s="4">
        <v>2013</v>
      </c>
      <c r="B7" s="8">
        <v>367000</v>
      </c>
      <c r="C7" s="10" t="str">
        <f t="shared" si="0"/>
        <v xml:space="preserve">2013             </v>
      </c>
      <c r="D7" s="13">
        <f t="shared" si="4"/>
        <v>367000</v>
      </c>
      <c r="E7" s="13">
        <f t="shared" si="5"/>
        <v>484000</v>
      </c>
      <c r="F7" s="8">
        <f t="shared" si="1"/>
        <v>117000</v>
      </c>
      <c r="G7" s="8">
        <f t="shared" si="2"/>
        <v>-117000</v>
      </c>
      <c r="H7" s="8" t="str">
        <f t="shared" ref="H7:H10" si="6">IF(F7&lt;0,F7,"")</f>
        <v/>
      </c>
      <c r="I7" s="5">
        <f>IFERROR((B8 - B7)/B7,0)</f>
        <v>0.31880108991825612</v>
      </c>
    </row>
    <row r="8" spans="1:30" x14ac:dyDescent="0.25">
      <c r="A8" s="4">
        <v>2014</v>
      </c>
      <c r="B8" s="8">
        <v>484000</v>
      </c>
      <c r="C8" s="10" t="str">
        <f t="shared" si="0"/>
        <v xml:space="preserve">2014             </v>
      </c>
      <c r="D8" s="13">
        <f t="shared" si="4"/>
        <v>484000</v>
      </c>
      <c r="E8" s="13">
        <f t="shared" si="5"/>
        <v>762000</v>
      </c>
      <c r="F8" s="8">
        <f t="shared" si="1"/>
        <v>278000</v>
      </c>
      <c r="G8" s="8">
        <f>IF(F8&gt;=0,-F8,"")</f>
        <v>-278000</v>
      </c>
      <c r="H8" s="8" t="str">
        <f t="shared" si="6"/>
        <v/>
      </c>
      <c r="I8" s="5">
        <f>IFERROR((B9 - B8)/B8,0)</f>
        <v>0.57438016528925617</v>
      </c>
    </row>
    <row r="9" spans="1:30" x14ac:dyDescent="0.25">
      <c r="A9" s="4">
        <v>2015</v>
      </c>
      <c r="B9" s="8">
        <v>762000</v>
      </c>
      <c r="C9" s="10" t="str">
        <f t="shared" si="0"/>
        <v xml:space="preserve">2015             </v>
      </c>
      <c r="D9" s="13">
        <f t="shared" si="4"/>
        <v>762000</v>
      </c>
      <c r="E9" s="13">
        <f t="shared" si="5"/>
        <v>561000</v>
      </c>
      <c r="F9" s="8">
        <f t="shared" si="1"/>
        <v>-201000</v>
      </c>
      <c r="G9" s="8" t="str">
        <f t="shared" ref="G9:G10" si="7">IF(F9&gt;=0,-F9,"")</f>
        <v/>
      </c>
      <c r="H9" s="8">
        <f t="shared" si="6"/>
        <v>-201000</v>
      </c>
      <c r="I9" s="5">
        <f>IFERROR((B10 - B9)/B9,0)</f>
        <v>-0.26377952755905509</v>
      </c>
    </row>
    <row r="10" spans="1:30" x14ac:dyDescent="0.25">
      <c r="A10" s="4">
        <v>2016</v>
      </c>
      <c r="B10" s="8">
        <v>561000</v>
      </c>
      <c r="C10" s="10" t="str">
        <f t="shared" si="0"/>
        <v xml:space="preserve">2016             </v>
      </c>
      <c r="D10" s="13">
        <f t="shared" si="4"/>
        <v>561000</v>
      </c>
      <c r="E10" s="13">
        <f t="shared" si="5"/>
        <v>774000</v>
      </c>
      <c r="F10" s="8">
        <f t="shared" si="1"/>
        <v>213000</v>
      </c>
      <c r="G10" s="8">
        <f t="shared" si="7"/>
        <v>-213000</v>
      </c>
      <c r="H10" s="8" t="str">
        <f t="shared" si="6"/>
        <v/>
      </c>
      <c r="I10" s="5">
        <f>IFERROR((B11 - B10)/B10,0)</f>
        <v>0.37967914438502676</v>
      </c>
    </row>
    <row r="11" spans="1:30" x14ac:dyDescent="0.25">
      <c r="A11" s="4">
        <v>2017</v>
      </c>
      <c r="B11" s="8">
        <v>774000</v>
      </c>
      <c r="C11" s="10" t="str">
        <f t="shared" si="0"/>
        <v xml:space="preserve">2017             </v>
      </c>
      <c r="D11" s="13">
        <f t="shared" si="4"/>
        <v>774000</v>
      </c>
      <c r="E11" s="13"/>
      <c r="F11" s="8"/>
      <c r="G11" s="8"/>
      <c r="H11" s="8"/>
      <c r="I11" s="5"/>
    </row>
  </sheetData>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CCF-8430-4BB6-A5D1-0295E310BE27}">
  <sheetPr codeName="Sheet6"/>
  <dimension ref="A1:AI45"/>
  <sheetViews>
    <sheetView showGridLines="0" topLeftCell="Q1" workbookViewId="0">
      <selection activeCell="AD6" sqref="AD6"/>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3.42578125" bestFit="1" customWidth="1"/>
    <col min="7" max="7" width="13.42578125" customWidth="1"/>
    <col min="8" max="8" width="11.5703125" bestFit="1" customWidth="1"/>
    <col min="9" max="10" width="9.7109375" bestFit="1" customWidth="1"/>
    <col min="11" max="11" width="10.7109375" bestFit="1" customWidth="1"/>
    <col min="14" max="14" width="10.5703125" bestFit="1" customWidth="1"/>
  </cols>
  <sheetData>
    <row r="1" spans="1:35" ht="18.75" x14ac:dyDescent="0.3">
      <c r="A1" s="6" t="s">
        <v>11</v>
      </c>
      <c r="R1" s="6" t="s">
        <v>11</v>
      </c>
    </row>
    <row r="2" spans="1:35" x14ac:dyDescent="0.25">
      <c r="AH2" s="9" t="s">
        <v>9</v>
      </c>
    </row>
    <row r="3" spans="1:35" x14ac:dyDescent="0.25">
      <c r="C3">
        <v>13</v>
      </c>
      <c r="D3" s="7" t="s">
        <v>8</v>
      </c>
    </row>
    <row r="4" spans="1:35" x14ac:dyDescent="0.25">
      <c r="A4" s="2" t="s">
        <v>6</v>
      </c>
      <c r="B4" s="2" t="s">
        <v>0</v>
      </c>
      <c r="C4" s="3" t="s">
        <v>7</v>
      </c>
      <c r="D4" s="12" t="s">
        <v>10</v>
      </c>
      <c r="E4" s="3" t="s">
        <v>5</v>
      </c>
      <c r="F4" s="3" t="s">
        <v>29</v>
      </c>
      <c r="G4" s="3" t="s">
        <v>30</v>
      </c>
      <c r="H4" s="3" t="s">
        <v>1</v>
      </c>
      <c r="I4" s="3" t="s">
        <v>3</v>
      </c>
      <c r="J4" s="3" t="s">
        <v>4</v>
      </c>
      <c r="K4" s="3" t="s">
        <v>2</v>
      </c>
      <c r="L4" s="15" t="s">
        <v>17</v>
      </c>
      <c r="M4" s="15" t="s">
        <v>18</v>
      </c>
      <c r="N4" s="15" t="s">
        <v>19</v>
      </c>
      <c r="AI4" s="9" t="s">
        <v>9</v>
      </c>
    </row>
    <row r="5" spans="1:35" x14ac:dyDescent="0.25">
      <c r="A5" s="4">
        <v>2011</v>
      </c>
      <c r="B5" s="8">
        <f>GETPIVOTDATA("Revenue",Pivot!$A$3,"Year",$A5)</f>
        <v>146364</v>
      </c>
      <c r="C5" s="10" t="str">
        <f t="shared" ref="C5:C11" si="0">A5&amp;REPT(" ",$C$3)</f>
        <v xml:space="preserve">2011             </v>
      </c>
      <c r="D5" s="13">
        <f>B5</f>
        <v>146364</v>
      </c>
      <c r="E5" s="11">
        <f>$B6</f>
        <v>174686</v>
      </c>
      <c r="F5" s="11">
        <f t="shared" ref="F5:F10" si="1">$B6</f>
        <v>174686</v>
      </c>
      <c r="G5" s="11">
        <f t="shared" ref="G5:G10" si="2">$B6</f>
        <v>174686</v>
      </c>
      <c r="H5" s="8">
        <f t="shared" ref="H5:H10" si="3">B6-B5</f>
        <v>28322</v>
      </c>
      <c r="I5" s="8">
        <f t="shared" ref="I5:I7" si="4">IF(H5&gt;=0,-H5,"")</f>
        <v>-28322</v>
      </c>
      <c r="J5" s="8" t="str">
        <f t="shared" ref="J5" si="5">IF(H5&lt;0,H5,"")</f>
        <v/>
      </c>
      <c r="K5" s="16">
        <f>IFERROR((B6-B5)/B5,0)</f>
        <v>0.1935038670711377</v>
      </c>
      <c r="L5" s="17">
        <f>IF(K5&gt;=0,K5,"")</f>
        <v>0.1935038670711377</v>
      </c>
      <c r="M5" s="18" t="str">
        <f>IF(K5&lt;0,K5,"")</f>
        <v/>
      </c>
      <c r="N5" s="19"/>
    </row>
    <row r="6" spans="1:35" x14ac:dyDescent="0.25">
      <c r="A6" s="4">
        <v>2012</v>
      </c>
      <c r="B6" s="8">
        <f>GETPIVOTDATA("Revenue",Pivot!$A$3,"Year",$A6)</f>
        <v>174686</v>
      </c>
      <c r="C6" s="10" t="str">
        <f t="shared" si="0"/>
        <v xml:space="preserve">2012             </v>
      </c>
      <c r="D6" s="13">
        <f t="shared" ref="D6:D11" si="6">B6</f>
        <v>174686</v>
      </c>
      <c r="E6" s="11">
        <f t="shared" ref="E6:E10" si="7">$B7</f>
        <v>195025</v>
      </c>
      <c r="F6" s="11">
        <f t="shared" si="1"/>
        <v>195025</v>
      </c>
      <c r="G6" s="11">
        <f t="shared" si="2"/>
        <v>195025</v>
      </c>
      <c r="H6" s="8">
        <f t="shared" si="3"/>
        <v>20339</v>
      </c>
      <c r="I6" s="8">
        <f t="shared" si="4"/>
        <v>-20339</v>
      </c>
      <c r="J6" s="8" t="str">
        <f>IF(H6&lt;0,H6,"")</f>
        <v/>
      </c>
      <c r="K6" s="16">
        <f>IFERROR((B7 - B6)/B6,0)</f>
        <v>0.11643176900266765</v>
      </c>
      <c r="L6" s="17">
        <f>IF(K6&gt;=0,K6,"")</f>
        <v>0.11643176900266765</v>
      </c>
      <c r="M6" s="18" t="str">
        <f t="shared" ref="M6:M11" si="8">IF(K6&lt;0,K6,"")</f>
        <v/>
      </c>
      <c r="N6" s="19"/>
    </row>
    <row r="7" spans="1:35" x14ac:dyDescent="0.25">
      <c r="A7" s="4">
        <v>2013</v>
      </c>
      <c r="B7" s="8">
        <f>GETPIVOTDATA("Revenue",Pivot!$A$3,"Year",$A7)</f>
        <v>195025</v>
      </c>
      <c r="C7" s="10" t="str">
        <f t="shared" si="0"/>
        <v xml:space="preserve">2013             </v>
      </c>
      <c r="D7" s="13">
        <f t="shared" si="6"/>
        <v>195025</v>
      </c>
      <c r="E7" s="11">
        <f t="shared" si="7"/>
        <v>136122</v>
      </c>
      <c r="F7" s="11">
        <f t="shared" si="1"/>
        <v>136122</v>
      </c>
      <c r="G7" s="11">
        <f t="shared" si="2"/>
        <v>136122</v>
      </c>
      <c r="H7" s="8">
        <f t="shared" si="3"/>
        <v>-58903</v>
      </c>
      <c r="I7" s="8" t="str">
        <f t="shared" si="4"/>
        <v/>
      </c>
      <c r="J7" s="8">
        <f t="shared" ref="J7:J10" si="9">IF(H7&lt;0,H7,"")</f>
        <v>-58903</v>
      </c>
      <c r="K7" s="16">
        <f>IFERROR((B8 - B7)/B7,0)</f>
        <v>-0.30202794513523906</v>
      </c>
      <c r="L7" s="17" t="str">
        <f t="shared" ref="L7:L10" si="10">IF(K7&gt;=0,K7,"")</f>
        <v/>
      </c>
      <c r="M7" s="18">
        <f t="shared" si="8"/>
        <v>-0.30202794513523906</v>
      </c>
      <c r="N7" s="19"/>
    </row>
    <row r="8" spans="1:35" x14ac:dyDescent="0.25">
      <c r="A8" s="4">
        <v>2014</v>
      </c>
      <c r="B8" s="8">
        <f>GETPIVOTDATA("Revenue",Pivot!$A$3,"Year",$A8)</f>
        <v>136122</v>
      </c>
      <c r="C8" s="10" t="str">
        <f t="shared" si="0"/>
        <v xml:space="preserve">2014             </v>
      </c>
      <c r="D8" s="13">
        <f t="shared" si="6"/>
        <v>136122</v>
      </c>
      <c r="E8" s="11">
        <f t="shared" si="7"/>
        <v>137497</v>
      </c>
      <c r="F8" s="11">
        <f t="shared" si="1"/>
        <v>137497</v>
      </c>
      <c r="G8" s="11">
        <f t="shared" si="2"/>
        <v>137497</v>
      </c>
      <c r="H8" s="8">
        <f t="shared" si="3"/>
        <v>1375</v>
      </c>
      <c r="I8" s="8">
        <f>IF(H8&gt;=0,-H8,"")</f>
        <v>-1375</v>
      </c>
      <c r="J8" s="8" t="str">
        <f t="shared" si="9"/>
        <v/>
      </c>
      <c r="K8" s="16">
        <f>IFERROR((B9 - B8)/B8,0)</f>
        <v>1.0101232717709114E-2</v>
      </c>
      <c r="L8" s="17">
        <f t="shared" si="10"/>
        <v>1.0101232717709114E-2</v>
      </c>
      <c r="M8" s="18" t="str">
        <f t="shared" si="8"/>
        <v/>
      </c>
      <c r="N8" s="19"/>
    </row>
    <row r="9" spans="1:35" x14ac:dyDescent="0.25">
      <c r="A9" s="4">
        <v>2015</v>
      </c>
      <c r="B9" s="8">
        <f>GETPIVOTDATA("Revenue",Pivot!$A$3,"Year",$A9)</f>
        <v>137497</v>
      </c>
      <c r="C9" s="10" t="str">
        <f t="shared" si="0"/>
        <v xml:space="preserve">2015             </v>
      </c>
      <c r="D9" s="13">
        <f t="shared" si="6"/>
        <v>137497</v>
      </c>
      <c r="E9" s="11">
        <f t="shared" si="7"/>
        <v>169893</v>
      </c>
      <c r="F9" s="11">
        <f t="shared" si="1"/>
        <v>169893</v>
      </c>
      <c r="G9" s="11">
        <f t="shared" si="2"/>
        <v>169893</v>
      </c>
      <c r="H9" s="8">
        <f t="shared" si="3"/>
        <v>32396</v>
      </c>
      <c r="I9" s="8">
        <f t="shared" ref="I9:I10" si="11">IF(H9&gt;=0,-H9,"")</f>
        <v>-32396</v>
      </c>
      <c r="J9" s="8" t="str">
        <f t="shared" si="9"/>
        <v/>
      </c>
      <c r="K9" s="16">
        <f>IFERROR((B10 - B9)/B9,0)</f>
        <v>0.23561241336174607</v>
      </c>
      <c r="L9" s="17">
        <f t="shared" si="10"/>
        <v>0.23561241336174607</v>
      </c>
      <c r="M9" s="18" t="str">
        <f t="shared" si="8"/>
        <v/>
      </c>
      <c r="N9" s="19"/>
    </row>
    <row r="10" spans="1:35" x14ac:dyDescent="0.25">
      <c r="A10" s="4">
        <v>2016</v>
      </c>
      <c r="B10" s="8">
        <f>GETPIVOTDATA("Revenue",Pivot!$A$3,"Year",$A10)</f>
        <v>169893</v>
      </c>
      <c r="C10" s="10" t="str">
        <f t="shared" si="0"/>
        <v xml:space="preserve">2016             </v>
      </c>
      <c r="D10" s="13">
        <f t="shared" si="6"/>
        <v>169893</v>
      </c>
      <c r="E10" s="11">
        <f t="shared" si="7"/>
        <v>183016</v>
      </c>
      <c r="F10" s="11">
        <f t="shared" si="1"/>
        <v>183016</v>
      </c>
      <c r="G10" s="11">
        <f t="shared" si="2"/>
        <v>183016</v>
      </c>
      <c r="H10" s="8">
        <f t="shared" si="3"/>
        <v>13123</v>
      </c>
      <c r="I10" s="8">
        <f t="shared" si="11"/>
        <v>-13123</v>
      </c>
      <c r="J10" s="8" t="str">
        <f t="shared" si="9"/>
        <v/>
      </c>
      <c r="K10" s="16">
        <f>IFERROR((B11 - B10)/B10,0)</f>
        <v>7.7242735133289775E-2</v>
      </c>
      <c r="L10" s="17">
        <f t="shared" si="10"/>
        <v>7.7242735133289775E-2</v>
      </c>
      <c r="M10" s="18" t="str">
        <f t="shared" si="8"/>
        <v/>
      </c>
      <c r="N10" s="19"/>
    </row>
    <row r="11" spans="1:35" x14ac:dyDescent="0.25">
      <c r="A11" s="4">
        <v>2017</v>
      </c>
      <c r="B11" s="8">
        <f>GETPIVOTDATA("Revenue",Pivot!$A$3,"Year",$A11)</f>
        <v>183016</v>
      </c>
      <c r="C11" s="10" t="str">
        <f t="shared" si="0"/>
        <v xml:space="preserve">2017             </v>
      </c>
      <c r="D11" s="13">
        <f t="shared" si="6"/>
        <v>183016</v>
      </c>
      <c r="E11" s="11"/>
      <c r="F11" s="11"/>
      <c r="G11" s="11"/>
      <c r="H11" s="8"/>
      <c r="I11" s="8"/>
      <c r="J11" s="8"/>
      <c r="K11" s="16"/>
      <c r="L11" s="17"/>
      <c r="M11" s="18" t="str">
        <f t="shared" si="8"/>
        <v/>
      </c>
      <c r="N11" s="19"/>
    </row>
    <row r="45" spans="29:29" x14ac:dyDescent="0.25">
      <c r="AC45" s="9" t="s">
        <v>9</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21C6A-F796-4C03-A525-5C8EDB72E86C}">
  <sheetPr codeName="Sheet2"/>
  <dimension ref="A1:AD28"/>
  <sheetViews>
    <sheetView showGridLines="0" workbookViewId="0"/>
  </sheetViews>
  <sheetFormatPr defaultRowHeight="15" x14ac:dyDescent="0.25"/>
  <cols>
    <col min="2" max="2" width="10.5703125" bestFit="1" customWidth="1"/>
    <col min="3" max="3" width="11.42578125" bestFit="1" customWidth="1"/>
    <col min="4" max="4" width="12" bestFit="1" customWidth="1"/>
    <col min="5" max="5" width="12.28515625" bestFit="1" customWidth="1"/>
    <col min="6" max="6" width="11.5703125" bestFit="1" customWidth="1"/>
    <col min="7" max="8" width="9.7109375" bestFit="1" customWidth="1"/>
    <col min="9" max="9" width="10.7109375" bestFit="1" customWidth="1"/>
  </cols>
  <sheetData>
    <row r="1" spans="1:30" ht="18.75" x14ac:dyDescent="0.3">
      <c r="A1" s="26" t="s">
        <v>54</v>
      </c>
      <c r="M1" s="6"/>
    </row>
    <row r="2" spans="1:30" s="28" customFormat="1" x14ac:dyDescent="0.25">
      <c r="A2" s="27" t="s">
        <v>43</v>
      </c>
      <c r="M2" s="1"/>
    </row>
    <row r="3" spans="1:30" s="28" customFormat="1" x14ac:dyDescent="0.25">
      <c r="A3" s="27" t="s">
        <v>41</v>
      </c>
      <c r="M3" s="1"/>
    </row>
    <row r="4" spans="1:30" s="28" customFormat="1" x14ac:dyDescent="0.25">
      <c r="A4" s="27" t="s">
        <v>42</v>
      </c>
      <c r="M4" s="1"/>
    </row>
    <row r="5" spans="1:30" x14ac:dyDescent="0.25">
      <c r="AD5" s="9" t="s">
        <v>9</v>
      </c>
    </row>
    <row r="6" spans="1:30" x14ac:dyDescent="0.25">
      <c r="C6">
        <v>15</v>
      </c>
      <c r="D6" s="7" t="s">
        <v>8</v>
      </c>
    </row>
    <row r="7" spans="1:30" x14ac:dyDescent="0.25">
      <c r="A7" s="2" t="s">
        <v>6</v>
      </c>
      <c r="B7" s="2" t="s">
        <v>0</v>
      </c>
      <c r="C7" s="3" t="s">
        <v>7</v>
      </c>
      <c r="D7" s="12" t="s">
        <v>10</v>
      </c>
      <c r="E7" s="3" t="s">
        <v>5</v>
      </c>
      <c r="F7" s="3" t="s">
        <v>1</v>
      </c>
      <c r="G7" s="3" t="s">
        <v>3</v>
      </c>
      <c r="H7" s="3" t="s">
        <v>4</v>
      </c>
      <c r="I7" s="3" t="s">
        <v>2</v>
      </c>
    </row>
    <row r="8" spans="1:30" x14ac:dyDescent="0.25">
      <c r="A8" s="4">
        <v>2011</v>
      </c>
      <c r="B8" s="8">
        <v>643362</v>
      </c>
      <c r="C8" s="10" t="str">
        <f t="shared" ref="C8:C14" si="0">A8&amp;REPT(" ",$C$6)</f>
        <v xml:space="preserve">2011               </v>
      </c>
      <c r="D8" s="13">
        <f>B8</f>
        <v>643362</v>
      </c>
      <c r="E8" s="13">
        <f>B9</f>
        <v>930614</v>
      </c>
      <c r="F8" s="8">
        <f t="shared" ref="F8:F13" si="1">B9-B8</f>
        <v>287252</v>
      </c>
      <c r="G8" s="8">
        <f t="shared" ref="G8:G10" si="2">IF(F8&gt;=0,-F8,"")</f>
        <v>-287252</v>
      </c>
      <c r="H8" s="8" t="str">
        <f t="shared" ref="H8" si="3">IF(F8&lt;0,F8,"")</f>
        <v/>
      </c>
      <c r="I8" s="5">
        <f>IFERROR((B9-B8)/B8,0)</f>
        <v>0.4464858042594993</v>
      </c>
    </row>
    <row r="9" spans="1:30" x14ac:dyDescent="0.25">
      <c r="A9" s="4">
        <v>2012</v>
      </c>
      <c r="B9" s="8">
        <v>930614</v>
      </c>
      <c r="C9" s="10" t="str">
        <f t="shared" si="0"/>
        <v xml:space="preserve">2012               </v>
      </c>
      <c r="D9" s="13">
        <f t="shared" ref="D9:D14" si="4">B9</f>
        <v>930614</v>
      </c>
      <c r="E9" s="13">
        <f t="shared" ref="E9:E13" si="5">B10</f>
        <v>168594</v>
      </c>
      <c r="F9" s="8">
        <f t="shared" si="1"/>
        <v>-762020</v>
      </c>
      <c r="G9" s="8" t="str">
        <f t="shared" si="2"/>
        <v/>
      </c>
      <c r="H9" s="8">
        <f>IF(F9&lt;0,F9,"")</f>
        <v>-762020</v>
      </c>
      <c r="I9" s="5">
        <f>IFERROR((B10 - B9)/B9,0)</f>
        <v>-0.8188357364062866</v>
      </c>
    </row>
    <row r="10" spans="1:30" x14ac:dyDescent="0.25">
      <c r="A10" s="4">
        <v>2013</v>
      </c>
      <c r="B10" s="8">
        <v>168594</v>
      </c>
      <c r="C10" s="10" t="str">
        <f t="shared" si="0"/>
        <v xml:space="preserve">2013               </v>
      </c>
      <c r="D10" s="13">
        <f t="shared" si="4"/>
        <v>168594</v>
      </c>
      <c r="E10" s="13">
        <f t="shared" si="5"/>
        <v>595904</v>
      </c>
      <c r="F10" s="8">
        <f t="shared" si="1"/>
        <v>427310</v>
      </c>
      <c r="G10" s="8">
        <f t="shared" si="2"/>
        <v>-427310</v>
      </c>
      <c r="H10" s="8" t="str">
        <f t="shared" ref="H10:H13" si="6">IF(F10&lt;0,F10,"")</f>
        <v/>
      </c>
      <c r="I10" s="5">
        <f>IFERROR((B11 - B10)/B10,0)</f>
        <v>2.5345504584979301</v>
      </c>
    </row>
    <row r="11" spans="1:30" x14ac:dyDescent="0.25">
      <c r="A11" s="4">
        <v>2014</v>
      </c>
      <c r="B11" s="8">
        <v>595904</v>
      </c>
      <c r="C11" s="10" t="str">
        <f t="shared" si="0"/>
        <v xml:space="preserve">2014               </v>
      </c>
      <c r="D11" s="13">
        <f t="shared" si="4"/>
        <v>595904</v>
      </c>
      <c r="E11" s="13">
        <f t="shared" si="5"/>
        <v>336568</v>
      </c>
      <c r="F11" s="8">
        <f t="shared" si="1"/>
        <v>-259336</v>
      </c>
      <c r="G11" s="8" t="str">
        <f>IF(F11&gt;=0,-F11,"")</f>
        <v/>
      </c>
      <c r="H11" s="8">
        <f t="shared" si="6"/>
        <v>-259336</v>
      </c>
      <c r="I11" s="5">
        <f>IFERROR((B12 - B11)/B11,0)</f>
        <v>-0.43519761572333798</v>
      </c>
    </row>
    <row r="12" spans="1:30" x14ac:dyDescent="0.25">
      <c r="A12" s="4">
        <v>2015</v>
      </c>
      <c r="B12" s="8">
        <v>336568</v>
      </c>
      <c r="C12" s="10" t="str">
        <f t="shared" si="0"/>
        <v xml:space="preserve">2015               </v>
      </c>
      <c r="D12" s="13">
        <f t="shared" si="4"/>
        <v>336568</v>
      </c>
      <c r="E12" s="13">
        <f t="shared" si="5"/>
        <v>610004</v>
      </c>
      <c r="F12" s="8">
        <f t="shared" si="1"/>
        <v>273436</v>
      </c>
      <c r="G12" s="8">
        <f t="shared" ref="G12:G13" si="7">IF(F12&gt;=0,-F12,"")</f>
        <v>-273436</v>
      </c>
      <c r="H12" s="8" t="str">
        <f t="shared" si="6"/>
        <v/>
      </c>
      <c r="I12" s="5">
        <f>IFERROR((B13 - B12)/B12,0)</f>
        <v>0.81242423522141138</v>
      </c>
    </row>
    <row r="13" spans="1:30" x14ac:dyDescent="0.25">
      <c r="A13" s="4">
        <v>2016</v>
      </c>
      <c r="B13" s="8">
        <v>610004</v>
      </c>
      <c r="C13" s="10" t="str">
        <f t="shared" si="0"/>
        <v xml:space="preserve">2016               </v>
      </c>
      <c r="D13" s="13">
        <f t="shared" si="4"/>
        <v>610004</v>
      </c>
      <c r="E13" s="13">
        <f t="shared" si="5"/>
        <v>667961</v>
      </c>
      <c r="F13" s="8">
        <f t="shared" si="1"/>
        <v>57957</v>
      </c>
      <c r="G13" s="8">
        <f t="shared" si="7"/>
        <v>-57957</v>
      </c>
      <c r="H13" s="8" t="str">
        <f t="shared" si="6"/>
        <v/>
      </c>
      <c r="I13" s="5">
        <f>IFERROR((B14 - B13)/B13,0)</f>
        <v>9.5010852387853201E-2</v>
      </c>
    </row>
    <row r="14" spans="1:30" x14ac:dyDescent="0.25">
      <c r="A14" s="4">
        <v>2017</v>
      </c>
      <c r="B14" s="8">
        <v>667961</v>
      </c>
      <c r="C14" s="10" t="str">
        <f t="shared" si="0"/>
        <v xml:space="preserve">2017               </v>
      </c>
      <c r="D14" s="13">
        <f t="shared" si="4"/>
        <v>667961</v>
      </c>
      <c r="E14" s="13"/>
      <c r="F14" s="8"/>
      <c r="G14" s="8"/>
      <c r="H14" s="8"/>
      <c r="I14" s="5"/>
    </row>
    <row r="16" spans="1:30" x14ac:dyDescent="0.25">
      <c r="B16" s="25"/>
    </row>
    <row r="17" spans="2:4" x14ac:dyDescent="0.25">
      <c r="B17" s="2" t="s">
        <v>31</v>
      </c>
    </row>
    <row r="18" spans="2:4" x14ac:dyDescent="0.25">
      <c r="B18" s="2" t="s">
        <v>32</v>
      </c>
    </row>
    <row r="19" spans="2:4" x14ac:dyDescent="0.25">
      <c r="B19" s="2" t="s">
        <v>33</v>
      </c>
      <c r="D19" s="1" t="s">
        <v>34</v>
      </c>
    </row>
    <row r="20" spans="2:4" x14ac:dyDescent="0.25">
      <c r="B20" s="8">
        <v>773000</v>
      </c>
    </row>
    <row r="21" spans="2:4" x14ac:dyDescent="0.25">
      <c r="B21" s="8">
        <v>812000</v>
      </c>
      <c r="D21" s="1" t="s">
        <v>35</v>
      </c>
    </row>
    <row r="22" spans="2:4" x14ac:dyDescent="0.25">
      <c r="B22" s="8">
        <v>367000</v>
      </c>
      <c r="D22" s="1" t="s">
        <v>36</v>
      </c>
    </row>
    <row r="23" spans="2:4" x14ac:dyDescent="0.25">
      <c r="B23" s="8">
        <v>484000</v>
      </c>
      <c r="D23" s="1" t="s">
        <v>37</v>
      </c>
    </row>
    <row r="24" spans="2:4" x14ac:dyDescent="0.25">
      <c r="B24" s="8">
        <v>762000</v>
      </c>
      <c r="D24" s="1" t="s">
        <v>38</v>
      </c>
    </row>
    <row r="25" spans="2:4" x14ac:dyDescent="0.25">
      <c r="B25" s="8">
        <v>561000</v>
      </c>
      <c r="D25" s="1" t="s">
        <v>39</v>
      </c>
    </row>
    <row r="26" spans="2:4" x14ac:dyDescent="0.25">
      <c r="B26" s="8">
        <v>774000</v>
      </c>
      <c r="D26" s="1" t="s">
        <v>40</v>
      </c>
    </row>
    <row r="27" spans="2:4" x14ac:dyDescent="0.25">
      <c r="D27" s="31" t="s">
        <v>47</v>
      </c>
    </row>
    <row r="28" spans="2:4" x14ac:dyDescent="0.25">
      <c r="D28" s="31" t="s">
        <v>48</v>
      </c>
    </row>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97A89-04D4-48C8-8AC3-98BB6A4EA264}">
  <sheetPr codeName="Sheet22"/>
  <dimension ref="A1:AD15"/>
  <sheetViews>
    <sheetView showGridLines="0" workbookViewId="0">
      <selection activeCell="F26" sqref="F26"/>
    </sheetView>
  </sheetViews>
  <sheetFormatPr defaultRowHeight="15" x14ac:dyDescent="0.25"/>
  <cols>
    <col min="2" max="2" width="9.85546875" customWidth="1"/>
    <col min="3" max="3" width="11.42578125" bestFit="1" customWidth="1"/>
    <col min="4" max="4" width="12" bestFit="1" customWidth="1"/>
    <col min="5" max="5" width="11.5703125" bestFit="1" customWidth="1"/>
    <col min="6" max="6" width="10.7109375" bestFit="1" customWidth="1"/>
    <col min="8" max="8" width="8.42578125" bestFit="1" customWidth="1"/>
    <col min="9" max="9" width="10.140625" bestFit="1" customWidth="1"/>
  </cols>
  <sheetData>
    <row r="1" spans="1:30" ht="18.75" x14ac:dyDescent="0.3">
      <c r="A1" s="6" t="s">
        <v>11</v>
      </c>
      <c r="M1" s="6" t="s">
        <v>11</v>
      </c>
    </row>
    <row r="2" spans="1:30" s="28" customFormat="1" x14ac:dyDescent="0.25">
      <c r="A2" s="28" t="s">
        <v>49</v>
      </c>
    </row>
    <row r="3" spans="1:30" s="28" customFormat="1" x14ac:dyDescent="0.25">
      <c r="A3" s="28" t="s">
        <v>50</v>
      </c>
    </row>
    <row r="4" spans="1:30" x14ac:dyDescent="0.25">
      <c r="A4" t="s">
        <v>51</v>
      </c>
      <c r="AD4" s="9" t="s">
        <v>9</v>
      </c>
    </row>
    <row r="5" spans="1:30" x14ac:dyDescent="0.25">
      <c r="A5" s="14" t="s">
        <v>52</v>
      </c>
      <c r="B5" s="14"/>
      <c r="C5" s="14"/>
      <c r="D5" s="14"/>
      <c r="E5" s="14"/>
      <c r="F5" s="14"/>
      <c r="G5" s="14"/>
      <c r="AD5" s="9"/>
    </row>
    <row r="6" spans="1:30" x14ac:dyDescent="0.25">
      <c r="AD6" s="9"/>
    </row>
    <row r="7" spans="1:30" x14ac:dyDescent="0.25">
      <c r="C7">
        <v>13</v>
      </c>
      <c r="D7" s="7" t="s">
        <v>8</v>
      </c>
    </row>
    <row r="8" spans="1:30" x14ac:dyDescent="0.25">
      <c r="A8" s="2" t="s">
        <v>6</v>
      </c>
      <c r="B8" s="2" t="s">
        <v>0</v>
      </c>
      <c r="C8" s="3" t="s">
        <v>7</v>
      </c>
      <c r="D8" s="12" t="s">
        <v>10</v>
      </c>
      <c r="E8" s="3" t="s">
        <v>1</v>
      </c>
      <c r="F8" s="29" t="s">
        <v>2</v>
      </c>
      <c r="G8" s="30" t="s">
        <v>44</v>
      </c>
      <c r="H8" s="30" t="s">
        <v>45</v>
      </c>
      <c r="I8" s="30" t="s">
        <v>46</v>
      </c>
    </row>
    <row r="9" spans="1:30" x14ac:dyDescent="0.25">
      <c r="A9" s="4">
        <v>2011</v>
      </c>
      <c r="B9" s="8">
        <f>GETPIVOTDATA("Revenue",Pivot!$A$3,"Year",$A9)</f>
        <v>146364</v>
      </c>
      <c r="C9" s="10" t="str">
        <f t="shared" ref="C9:C15" si="0">A9&amp;REPT(" ",$C$7)</f>
        <v xml:space="preserve">2011             </v>
      </c>
      <c r="D9" s="13">
        <f>B9</f>
        <v>146364</v>
      </c>
      <c r="E9" s="8">
        <f t="shared" ref="E9:E14" si="1">B10-B9</f>
        <v>28322</v>
      </c>
      <c r="F9" s="16">
        <f>IFERROR((B10-B9)/B9,0)</f>
        <v>0.1935038670711377</v>
      </c>
      <c r="G9" s="19">
        <v>1.5</v>
      </c>
      <c r="H9" s="13">
        <f t="shared" ref="H9:H14" si="2">IF(D10&gt;=D9,D10,NA())</f>
        <v>174686</v>
      </c>
      <c r="I9" s="13" t="e">
        <f t="shared" ref="I9:I14" si="3">IF(D10&lt;D9,D10,NA())</f>
        <v>#N/A</v>
      </c>
    </row>
    <row r="10" spans="1:30" x14ac:dyDescent="0.25">
      <c r="A10" s="4">
        <v>2012</v>
      </c>
      <c r="B10" s="8">
        <f>GETPIVOTDATA("Revenue",Pivot!$A$3,"Year",$A10)</f>
        <v>174686</v>
      </c>
      <c r="C10" s="10" t="str">
        <f t="shared" si="0"/>
        <v xml:space="preserve">2012             </v>
      </c>
      <c r="D10" s="13">
        <f t="shared" ref="D10:D15" si="4">B10</f>
        <v>174686</v>
      </c>
      <c r="E10" s="8">
        <f t="shared" si="1"/>
        <v>20339</v>
      </c>
      <c r="F10" s="16">
        <f>IFERROR((B11 - B10)/B10,0)</f>
        <v>0.11643176900266765</v>
      </c>
      <c r="G10" s="19">
        <f>G9+1</f>
        <v>2.5</v>
      </c>
      <c r="H10" s="13">
        <f t="shared" si="2"/>
        <v>195025</v>
      </c>
      <c r="I10" s="13" t="e">
        <f t="shared" si="3"/>
        <v>#N/A</v>
      </c>
    </row>
    <row r="11" spans="1:30" x14ac:dyDescent="0.25">
      <c r="A11" s="4">
        <v>2013</v>
      </c>
      <c r="B11" s="8">
        <f>GETPIVOTDATA("Revenue",Pivot!$A$3,"Year",$A11)</f>
        <v>195025</v>
      </c>
      <c r="C11" s="10" t="str">
        <f t="shared" si="0"/>
        <v xml:space="preserve">2013             </v>
      </c>
      <c r="D11" s="13">
        <f t="shared" si="4"/>
        <v>195025</v>
      </c>
      <c r="E11" s="8">
        <f t="shared" si="1"/>
        <v>-58903</v>
      </c>
      <c r="F11" s="16">
        <f>IFERROR((B12 - B11)/B11,0)</f>
        <v>-0.30202794513523906</v>
      </c>
      <c r="G11" s="19">
        <f t="shared" ref="G11:G14" si="5">G10+1</f>
        <v>3.5</v>
      </c>
      <c r="H11" s="13" t="e">
        <f t="shared" si="2"/>
        <v>#N/A</v>
      </c>
      <c r="I11" s="13">
        <f t="shared" si="3"/>
        <v>136122</v>
      </c>
    </row>
    <row r="12" spans="1:30" x14ac:dyDescent="0.25">
      <c r="A12" s="4">
        <v>2014</v>
      </c>
      <c r="B12" s="8">
        <f>GETPIVOTDATA("Revenue",Pivot!$A$3,"Year",$A12)</f>
        <v>136122</v>
      </c>
      <c r="C12" s="10" t="str">
        <f t="shared" si="0"/>
        <v xml:space="preserve">2014             </v>
      </c>
      <c r="D12" s="13">
        <f t="shared" si="4"/>
        <v>136122</v>
      </c>
      <c r="E12" s="8">
        <f t="shared" si="1"/>
        <v>1375</v>
      </c>
      <c r="F12" s="16">
        <f>IFERROR((B13 - B12)/B12,0)</f>
        <v>1.0101232717709114E-2</v>
      </c>
      <c r="G12" s="19">
        <f t="shared" si="5"/>
        <v>4.5</v>
      </c>
      <c r="H12" s="13">
        <f t="shared" si="2"/>
        <v>137497</v>
      </c>
      <c r="I12" s="13" t="e">
        <f t="shared" si="3"/>
        <v>#N/A</v>
      </c>
    </row>
    <row r="13" spans="1:30" x14ac:dyDescent="0.25">
      <c r="A13" s="4">
        <v>2015</v>
      </c>
      <c r="B13" s="8">
        <f>GETPIVOTDATA("Revenue",Pivot!$A$3,"Year",$A13)</f>
        <v>137497</v>
      </c>
      <c r="C13" s="10" t="str">
        <f t="shared" si="0"/>
        <v xml:space="preserve">2015             </v>
      </c>
      <c r="D13" s="13">
        <f t="shared" si="4"/>
        <v>137497</v>
      </c>
      <c r="E13" s="8">
        <f t="shared" si="1"/>
        <v>32396</v>
      </c>
      <c r="F13" s="16">
        <f>IFERROR((B14 - B13)/B13,0)</f>
        <v>0.23561241336174607</v>
      </c>
      <c r="G13" s="19">
        <f t="shared" si="5"/>
        <v>5.5</v>
      </c>
      <c r="H13" s="13">
        <f t="shared" si="2"/>
        <v>169893</v>
      </c>
      <c r="I13" s="13" t="e">
        <f t="shared" si="3"/>
        <v>#N/A</v>
      </c>
    </row>
    <row r="14" spans="1:30" x14ac:dyDescent="0.25">
      <c r="A14" s="4">
        <v>2016</v>
      </c>
      <c r="B14" s="8">
        <f>GETPIVOTDATA("Revenue",Pivot!$A$3,"Year",$A14)</f>
        <v>169893</v>
      </c>
      <c r="C14" s="10" t="str">
        <f t="shared" si="0"/>
        <v xml:space="preserve">2016             </v>
      </c>
      <c r="D14" s="13">
        <f t="shared" si="4"/>
        <v>169893</v>
      </c>
      <c r="E14" s="8">
        <f t="shared" si="1"/>
        <v>13123</v>
      </c>
      <c r="F14" s="16">
        <f>IFERROR((B15 - B14)/B14,0)</f>
        <v>7.7242735133289775E-2</v>
      </c>
      <c r="G14" s="19">
        <f t="shared" si="5"/>
        <v>6.5</v>
      </c>
      <c r="H14" s="13">
        <f t="shared" si="2"/>
        <v>183016</v>
      </c>
      <c r="I14" s="13" t="e">
        <f t="shared" si="3"/>
        <v>#N/A</v>
      </c>
    </row>
    <row r="15" spans="1:30" x14ac:dyDescent="0.25">
      <c r="A15" s="4">
        <v>2017</v>
      </c>
      <c r="B15" s="8">
        <f>GETPIVOTDATA("Revenue",Pivot!$A$3,"Year",$A15)</f>
        <v>183016</v>
      </c>
      <c r="C15" s="10" t="str">
        <f t="shared" si="0"/>
        <v xml:space="preserve">2017             </v>
      </c>
      <c r="D15" s="13">
        <f t="shared" si="4"/>
        <v>183016</v>
      </c>
      <c r="E15" s="8"/>
      <c r="F15" s="16"/>
      <c r="G15" s="19"/>
      <c r="H15" s="19"/>
      <c r="I15" s="19"/>
    </row>
  </sheetData>
  <hyperlinks>
    <hyperlink ref="A5:G5" r:id="rId1" display="https://peltiertech.com/revenue-chart-showing-year-over-year-variances/" xr:uid="{BB8B7AD5-54F6-4A53-A010-841058DF6ABC}"/>
  </hyperlinks>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6FDF0-7241-4D50-B40F-FA45EDFC2BD2}">
  <sheetPr codeName="Sheet9"/>
  <dimension ref="A1:A102"/>
  <sheetViews>
    <sheetView showGridLines="0" zoomScaleNormal="100" workbookViewId="0"/>
  </sheetViews>
  <sheetFormatPr defaultRowHeight="15" x14ac:dyDescent="0.25"/>
  <sheetData>
    <row r="1" spans="1:1" ht="18.75" x14ac:dyDescent="0.3">
      <c r="A1" s="6" t="s">
        <v>53</v>
      </c>
    </row>
    <row r="102" spans="1:1" x14ac:dyDescent="0.25">
      <c r="A102" s="9" t="s">
        <v>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4FC6-F5C7-4429-8795-B65A5299E59F}">
  <sheetPr codeName="Sheet4"/>
  <dimension ref="A1:AD45"/>
  <sheetViews>
    <sheetView showGridLines="0" workbookViewId="0"/>
  </sheetViews>
  <sheetFormatPr defaultRowHeight="15" x14ac:dyDescent="0.25"/>
  <cols>
    <col min="2" max="2" width="9.85546875" customWidth="1"/>
    <col min="3" max="3" width="11.42578125" bestFit="1" customWidth="1"/>
    <col min="4" max="4" width="12" bestFit="1" customWidth="1"/>
    <col min="5" max="5" width="12.28515625" bestFit="1" customWidth="1"/>
    <col min="6" max="6" width="11.5703125" bestFit="1" customWidth="1"/>
    <col min="7" max="8" width="9.7109375" bestFit="1" customWidth="1"/>
    <col min="9" max="9" width="10.7109375" bestFit="1" customWidth="1"/>
  </cols>
  <sheetData>
    <row r="1" spans="1:30" ht="18.75" x14ac:dyDescent="0.3">
      <c r="A1" s="6" t="s">
        <v>11</v>
      </c>
      <c r="M1" s="6" t="s">
        <v>11</v>
      </c>
    </row>
    <row r="2" spans="1:30" x14ac:dyDescent="0.25">
      <c r="AD2" s="9" t="s">
        <v>9</v>
      </c>
    </row>
    <row r="3" spans="1:30" x14ac:dyDescent="0.25">
      <c r="C3">
        <v>13</v>
      </c>
      <c r="D3" s="7" t="s">
        <v>8</v>
      </c>
    </row>
    <row r="4" spans="1:30" x14ac:dyDescent="0.25">
      <c r="A4" s="2" t="s">
        <v>6</v>
      </c>
      <c r="B4" s="2" t="s">
        <v>0</v>
      </c>
      <c r="C4" s="3" t="s">
        <v>7</v>
      </c>
      <c r="D4" s="12" t="s">
        <v>10</v>
      </c>
      <c r="E4" s="3" t="s">
        <v>5</v>
      </c>
      <c r="F4" s="3" t="s">
        <v>1</v>
      </c>
      <c r="G4" s="3" t="s">
        <v>3</v>
      </c>
      <c r="H4" s="3" t="s">
        <v>4</v>
      </c>
      <c r="I4" s="3" t="s">
        <v>2</v>
      </c>
    </row>
    <row r="5" spans="1:30" x14ac:dyDescent="0.25">
      <c r="A5" s="4">
        <v>2011</v>
      </c>
      <c r="B5" s="8">
        <v>367000</v>
      </c>
      <c r="C5" s="10" t="str">
        <f t="shared" ref="C5:C11" si="0">A5&amp;REPT(" ",$C$3)</f>
        <v xml:space="preserve">2011             </v>
      </c>
      <c r="D5" s="13">
        <f>B5</f>
        <v>367000</v>
      </c>
      <c r="E5" s="11">
        <f>B6</f>
        <v>484000</v>
      </c>
      <c r="F5" s="8">
        <f t="shared" ref="F5:F10" si="1">B6-B5</f>
        <v>117000</v>
      </c>
      <c r="G5" s="8">
        <f>IF(F5&gt;=0,F5,"")</f>
        <v>117000</v>
      </c>
      <c r="H5" s="8" t="str">
        <f t="shared" ref="H5" si="2">IF(F5&lt;0,F5,"")</f>
        <v/>
      </c>
      <c r="I5" s="5">
        <f>IFERROR((B6-B5)/B5,0)</f>
        <v>0.31880108991825612</v>
      </c>
    </row>
    <row r="6" spans="1:30" x14ac:dyDescent="0.25">
      <c r="A6" s="4">
        <v>2012</v>
      </c>
      <c r="B6" s="8">
        <v>484000</v>
      </c>
      <c r="C6" s="10" t="str">
        <f t="shared" si="0"/>
        <v xml:space="preserve">2012             </v>
      </c>
      <c r="D6" s="13">
        <f t="shared" ref="D6:D11" si="3">B6</f>
        <v>484000</v>
      </c>
      <c r="E6" s="11">
        <f t="shared" ref="E6:E10" si="4">B7</f>
        <v>561000</v>
      </c>
      <c r="F6" s="8">
        <f t="shared" si="1"/>
        <v>77000</v>
      </c>
      <c r="G6" s="8">
        <f t="shared" ref="G6:G10" si="5">IF(F6&gt;=0,F6,"")</f>
        <v>77000</v>
      </c>
      <c r="H6" s="8" t="str">
        <f>IF(F6&lt;0,F6,"")</f>
        <v/>
      </c>
      <c r="I6" s="5">
        <f>IFERROR((B7 - B6)/B6,0)</f>
        <v>0.15909090909090909</v>
      </c>
    </row>
    <row r="7" spans="1:30" x14ac:dyDescent="0.25">
      <c r="A7" s="4">
        <v>2013</v>
      </c>
      <c r="B7" s="8">
        <v>561000</v>
      </c>
      <c r="C7" s="10" t="str">
        <f t="shared" si="0"/>
        <v xml:space="preserve">2013             </v>
      </c>
      <c r="D7" s="13">
        <f t="shared" si="3"/>
        <v>561000</v>
      </c>
      <c r="E7" s="11">
        <f t="shared" si="4"/>
        <v>662000</v>
      </c>
      <c r="F7" s="8">
        <f t="shared" si="1"/>
        <v>101000</v>
      </c>
      <c r="G7" s="8">
        <f t="shared" si="5"/>
        <v>101000</v>
      </c>
      <c r="H7" s="8" t="str">
        <f t="shared" ref="H7:H10" si="6">IF(F7&lt;0,F7,"")</f>
        <v/>
      </c>
      <c r="I7" s="5">
        <f>IFERROR((B8 - B7)/B7,0)</f>
        <v>0.18003565062388591</v>
      </c>
    </row>
    <row r="8" spans="1:30" x14ac:dyDescent="0.25">
      <c r="A8" s="4">
        <v>2014</v>
      </c>
      <c r="B8" s="8">
        <v>662000</v>
      </c>
      <c r="C8" s="10" t="str">
        <f t="shared" si="0"/>
        <v xml:space="preserve">2014             </v>
      </c>
      <c r="D8" s="13">
        <f t="shared" si="3"/>
        <v>662000</v>
      </c>
      <c r="E8" s="11">
        <f t="shared" si="4"/>
        <v>773000</v>
      </c>
      <c r="F8" s="8">
        <f t="shared" si="1"/>
        <v>111000</v>
      </c>
      <c r="G8" s="8">
        <f t="shared" si="5"/>
        <v>111000</v>
      </c>
      <c r="H8" s="8" t="str">
        <f t="shared" si="6"/>
        <v/>
      </c>
      <c r="I8" s="5">
        <f>IFERROR((B9 - B8)/B8,0)</f>
        <v>0.16767371601208458</v>
      </c>
    </row>
    <row r="9" spans="1:30" x14ac:dyDescent="0.25">
      <c r="A9" s="4">
        <v>2015</v>
      </c>
      <c r="B9" s="8">
        <v>773000</v>
      </c>
      <c r="C9" s="10" t="str">
        <f t="shared" si="0"/>
        <v xml:space="preserve">2015             </v>
      </c>
      <c r="D9" s="13">
        <f t="shared" si="3"/>
        <v>773000</v>
      </c>
      <c r="E9" s="11">
        <f t="shared" si="4"/>
        <v>774000</v>
      </c>
      <c r="F9" s="8">
        <f t="shared" si="1"/>
        <v>1000</v>
      </c>
      <c r="G9" s="8">
        <f t="shared" si="5"/>
        <v>1000</v>
      </c>
      <c r="H9" s="8" t="str">
        <f t="shared" si="6"/>
        <v/>
      </c>
      <c r="I9" s="5">
        <f>IFERROR((B10 - B9)/B9,0)</f>
        <v>1.29366106080207E-3</v>
      </c>
    </row>
    <row r="10" spans="1:30" x14ac:dyDescent="0.25">
      <c r="A10" s="4">
        <v>2016</v>
      </c>
      <c r="B10" s="8">
        <v>774000</v>
      </c>
      <c r="C10" s="10" t="str">
        <f t="shared" si="0"/>
        <v xml:space="preserve">2016             </v>
      </c>
      <c r="D10" s="13">
        <f t="shared" si="3"/>
        <v>774000</v>
      </c>
      <c r="E10" s="11">
        <f t="shared" si="4"/>
        <v>812000</v>
      </c>
      <c r="F10" s="8">
        <f t="shared" si="1"/>
        <v>38000</v>
      </c>
      <c r="G10" s="8">
        <f t="shared" si="5"/>
        <v>38000</v>
      </c>
      <c r="H10" s="8" t="str">
        <f t="shared" si="6"/>
        <v/>
      </c>
      <c r="I10" s="5">
        <f>IFERROR((B11 - B10)/B10,0)</f>
        <v>4.909560723514212E-2</v>
      </c>
    </row>
    <row r="11" spans="1:30" x14ac:dyDescent="0.25">
      <c r="A11" s="4">
        <v>2017</v>
      </c>
      <c r="B11" s="8">
        <v>812000</v>
      </c>
      <c r="C11" s="10" t="str">
        <f t="shared" si="0"/>
        <v xml:space="preserve">2017             </v>
      </c>
      <c r="D11" s="13">
        <f t="shared" si="3"/>
        <v>812000</v>
      </c>
      <c r="E11" s="11"/>
      <c r="F11" s="8"/>
      <c r="G11" s="8"/>
      <c r="H11" s="8"/>
      <c r="I11" s="5"/>
    </row>
    <row r="45" spans="25:25" x14ac:dyDescent="0.25">
      <c r="Y45" s="9" t="s">
        <v>9</v>
      </c>
    </row>
  </sheetData>
  <sortState xmlns:xlrd2="http://schemas.microsoft.com/office/spreadsheetml/2017/richdata2" ref="B5:B11">
    <sortCondition ref="B5"/>
  </sortState>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1872A-8B93-490E-B40B-4C2834E6183E}">
  <sheetPr codeName="Sheet5"/>
  <dimension ref="A1:AE45"/>
  <sheetViews>
    <sheetView showGridLines="0" workbookViewId="0">
      <selection activeCell="A5" sqref="A5:A11"/>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3.42578125" bestFit="1" customWidth="1"/>
    <col min="7" max="7" width="11.5703125" bestFit="1" customWidth="1"/>
    <col min="8" max="9" width="9.7109375" bestFit="1" customWidth="1"/>
    <col min="10" max="10" width="10.7109375" bestFit="1" customWidth="1"/>
    <col min="13" max="13" width="10.5703125" bestFit="1" customWidth="1"/>
  </cols>
  <sheetData>
    <row r="1" spans="1:31" ht="18.75" x14ac:dyDescent="0.3">
      <c r="A1" s="6" t="s">
        <v>11</v>
      </c>
      <c r="O1" s="6" t="s">
        <v>11</v>
      </c>
    </row>
    <row r="2" spans="1:31" x14ac:dyDescent="0.25">
      <c r="AE2" s="9" t="s">
        <v>9</v>
      </c>
    </row>
    <row r="3" spans="1:31" x14ac:dyDescent="0.25">
      <c r="C3">
        <v>13</v>
      </c>
      <c r="D3" s="7" t="s">
        <v>8</v>
      </c>
    </row>
    <row r="4" spans="1:31" x14ac:dyDescent="0.25">
      <c r="A4" s="2" t="s">
        <v>6</v>
      </c>
      <c r="B4" s="2" t="s">
        <v>0</v>
      </c>
      <c r="C4" s="3" t="s">
        <v>7</v>
      </c>
      <c r="D4" s="12" t="s">
        <v>10</v>
      </c>
      <c r="E4" s="3" t="s">
        <v>5</v>
      </c>
      <c r="F4" s="3" t="s">
        <v>16</v>
      </c>
      <c r="G4" s="3" t="s">
        <v>1</v>
      </c>
      <c r="H4" s="3" t="s">
        <v>3</v>
      </c>
      <c r="I4" s="3" t="s">
        <v>4</v>
      </c>
      <c r="J4" s="3" t="s">
        <v>2</v>
      </c>
      <c r="K4" s="15" t="s">
        <v>17</v>
      </c>
      <c r="L4" s="15" t="s">
        <v>18</v>
      </c>
      <c r="M4" s="15" t="s">
        <v>19</v>
      </c>
    </row>
    <row r="5" spans="1:31" x14ac:dyDescent="0.25">
      <c r="A5" s="4">
        <v>2011</v>
      </c>
      <c r="B5" s="8">
        <v>773000</v>
      </c>
      <c r="C5" s="10" t="str">
        <f t="shared" ref="C5:C11" si="0">A5&amp;REPT(" ",$C$3)</f>
        <v xml:space="preserve">2011             </v>
      </c>
      <c r="D5" s="13">
        <f>B5</f>
        <v>773000</v>
      </c>
      <c r="E5" s="11">
        <f>B6</f>
        <v>812000</v>
      </c>
      <c r="F5" s="11">
        <f>B6</f>
        <v>812000</v>
      </c>
      <c r="G5" s="8">
        <f t="shared" ref="G5:G10" si="1">B6-B5</f>
        <v>39000</v>
      </c>
      <c r="H5" s="8">
        <f t="shared" ref="H5:H7" si="2">IF(G5&gt;=0,-G5,"")</f>
        <v>-39000</v>
      </c>
      <c r="I5" s="8" t="str">
        <f t="shared" ref="I5" si="3">IF(G5&lt;0,G5,"")</f>
        <v/>
      </c>
      <c r="J5" s="16">
        <f>IFERROR((B6-B5)/B5,0)</f>
        <v>5.0452781371280724E-2</v>
      </c>
      <c r="K5" s="17">
        <f>IF(J5&gt;=0,J5,"")</f>
        <v>5.0452781371280724E-2</v>
      </c>
      <c r="L5" s="18" t="str">
        <f>IF(J5&lt;0,J5,"")</f>
        <v/>
      </c>
      <c r="M5" s="19"/>
    </row>
    <row r="6" spans="1:31" x14ac:dyDescent="0.25">
      <c r="A6" s="4">
        <v>2012</v>
      </c>
      <c r="B6" s="8">
        <v>812000</v>
      </c>
      <c r="C6" s="10" t="str">
        <f t="shared" si="0"/>
        <v xml:space="preserve">2012             </v>
      </c>
      <c r="D6" s="13">
        <f t="shared" ref="D6:D11" si="4">B6</f>
        <v>812000</v>
      </c>
      <c r="E6" s="11">
        <f t="shared" ref="E6:E10" si="5">B7</f>
        <v>367000</v>
      </c>
      <c r="F6" s="11">
        <f t="shared" ref="F6:F10" si="6">B7</f>
        <v>367000</v>
      </c>
      <c r="G6" s="8">
        <f t="shared" si="1"/>
        <v>-445000</v>
      </c>
      <c r="H6" s="8"/>
      <c r="I6" s="8">
        <f>IF(G6&lt;0,G6,"")</f>
        <v>-445000</v>
      </c>
      <c r="J6" s="16">
        <f>IFERROR((B7 - B6)/B6,0)</f>
        <v>-0.54802955665024633</v>
      </c>
      <c r="K6" s="20"/>
      <c r="L6" s="18">
        <f t="shared" ref="L6:L11" si="7">IF(J6&lt;0,J6,"")</f>
        <v>-0.54802955665024633</v>
      </c>
      <c r="M6" s="19"/>
    </row>
    <row r="7" spans="1:31" x14ac:dyDescent="0.25">
      <c r="A7" s="4">
        <v>2013</v>
      </c>
      <c r="B7" s="8">
        <v>367000</v>
      </c>
      <c r="C7" s="10" t="str">
        <f t="shared" si="0"/>
        <v xml:space="preserve">2013             </v>
      </c>
      <c r="D7" s="13">
        <f t="shared" si="4"/>
        <v>367000</v>
      </c>
      <c r="E7" s="11">
        <f t="shared" si="5"/>
        <v>484000</v>
      </c>
      <c r="F7" s="11">
        <f t="shared" si="6"/>
        <v>484000</v>
      </c>
      <c r="G7" s="8">
        <f t="shared" si="1"/>
        <v>117000</v>
      </c>
      <c r="H7" s="8">
        <f t="shared" si="2"/>
        <v>-117000</v>
      </c>
      <c r="I7" s="8" t="str">
        <f t="shared" ref="I7:I10" si="8">IF(G7&lt;0,G7,"")</f>
        <v/>
      </c>
      <c r="J7" s="16">
        <f>IFERROR((B8 - B7)/B7,0)</f>
        <v>0.31880108991825612</v>
      </c>
      <c r="K7" s="17">
        <f t="shared" ref="K7:K11" si="9">IF(J7&gt;=0,J7,"")</f>
        <v>0.31880108991825612</v>
      </c>
      <c r="L7" s="18" t="str">
        <f t="shared" si="7"/>
        <v/>
      </c>
      <c r="M7" s="19"/>
    </row>
    <row r="8" spans="1:31" x14ac:dyDescent="0.25">
      <c r="A8" s="4">
        <v>2014</v>
      </c>
      <c r="B8" s="8">
        <v>484000</v>
      </c>
      <c r="C8" s="10" t="str">
        <f t="shared" si="0"/>
        <v xml:space="preserve">2014             </v>
      </c>
      <c r="D8" s="13">
        <f t="shared" si="4"/>
        <v>484000</v>
      </c>
      <c r="E8" s="11">
        <f t="shared" si="5"/>
        <v>762000</v>
      </c>
      <c r="F8" s="11">
        <f t="shared" si="6"/>
        <v>762000</v>
      </c>
      <c r="G8" s="8">
        <f t="shared" si="1"/>
        <v>278000</v>
      </c>
      <c r="H8" s="8">
        <f>IF(G8&gt;=0,-G8,"")</f>
        <v>-278000</v>
      </c>
      <c r="I8" s="8" t="str">
        <f t="shared" si="8"/>
        <v/>
      </c>
      <c r="J8" s="16">
        <f>IFERROR((B9 - B8)/B8,0)</f>
        <v>0.57438016528925617</v>
      </c>
      <c r="K8" s="17">
        <f t="shared" si="9"/>
        <v>0.57438016528925617</v>
      </c>
      <c r="L8" s="18" t="str">
        <f t="shared" si="7"/>
        <v/>
      </c>
      <c r="M8" s="19"/>
    </row>
    <row r="9" spans="1:31" x14ac:dyDescent="0.25">
      <c r="A9" s="4">
        <v>2015</v>
      </c>
      <c r="B9" s="8">
        <v>762000</v>
      </c>
      <c r="C9" s="10" t="str">
        <f t="shared" si="0"/>
        <v xml:space="preserve">2015             </v>
      </c>
      <c r="D9" s="13">
        <f t="shared" si="4"/>
        <v>762000</v>
      </c>
      <c r="E9" s="11">
        <f t="shared" si="5"/>
        <v>561000</v>
      </c>
      <c r="F9" s="11">
        <f t="shared" si="6"/>
        <v>561000</v>
      </c>
      <c r="G9" s="8">
        <f t="shared" si="1"/>
        <v>-201000</v>
      </c>
      <c r="H9" s="8" t="str">
        <f t="shared" ref="H9:H10" si="10">IF(G9&gt;=0,-G9,"")</f>
        <v/>
      </c>
      <c r="I9" s="8">
        <f t="shared" si="8"/>
        <v>-201000</v>
      </c>
      <c r="J9" s="16">
        <f>IFERROR((B10 - B9)/B9,0)</f>
        <v>-0.26377952755905509</v>
      </c>
      <c r="K9" s="17" t="str">
        <f t="shared" si="9"/>
        <v/>
      </c>
      <c r="L9" s="18">
        <f t="shared" si="7"/>
        <v>-0.26377952755905509</v>
      </c>
      <c r="M9" s="19"/>
    </row>
    <row r="10" spans="1:31" x14ac:dyDescent="0.25">
      <c r="A10" s="4">
        <v>2016</v>
      </c>
      <c r="B10" s="8">
        <v>561000</v>
      </c>
      <c r="C10" s="10" t="str">
        <f t="shared" si="0"/>
        <v xml:space="preserve">2016             </v>
      </c>
      <c r="D10" s="13">
        <f t="shared" si="4"/>
        <v>561000</v>
      </c>
      <c r="E10" s="11">
        <f t="shared" si="5"/>
        <v>774000</v>
      </c>
      <c r="F10" s="11">
        <f t="shared" si="6"/>
        <v>774000</v>
      </c>
      <c r="G10" s="8">
        <f t="shared" si="1"/>
        <v>213000</v>
      </c>
      <c r="H10" s="8">
        <f t="shared" si="10"/>
        <v>-213000</v>
      </c>
      <c r="I10" s="8" t="str">
        <f t="shared" si="8"/>
        <v/>
      </c>
      <c r="J10" s="16">
        <f>IFERROR((B11 - B10)/B10,0)</f>
        <v>0.37967914438502676</v>
      </c>
      <c r="K10" s="17">
        <f t="shared" si="9"/>
        <v>0.37967914438502676</v>
      </c>
      <c r="L10" s="18" t="str">
        <f t="shared" si="7"/>
        <v/>
      </c>
      <c r="M10" s="19"/>
    </row>
    <row r="11" spans="1:31" x14ac:dyDescent="0.25">
      <c r="A11" s="4">
        <v>2017</v>
      </c>
      <c r="B11" s="8">
        <v>774000</v>
      </c>
      <c r="C11" s="10" t="str">
        <f t="shared" si="0"/>
        <v xml:space="preserve">2017             </v>
      </c>
      <c r="D11" s="13">
        <f t="shared" si="4"/>
        <v>774000</v>
      </c>
      <c r="E11" s="11"/>
      <c r="F11" s="11"/>
      <c r="G11" s="8"/>
      <c r="H11" s="8"/>
      <c r="I11" s="8"/>
      <c r="J11" s="16"/>
      <c r="K11" s="17">
        <f t="shared" si="9"/>
        <v>0</v>
      </c>
      <c r="L11" s="18" t="str">
        <f t="shared" si="7"/>
        <v/>
      </c>
      <c r="M11" s="19"/>
    </row>
    <row r="45" spans="26:26" x14ac:dyDescent="0.25">
      <c r="Z45" s="9" t="s">
        <v>9</v>
      </c>
    </row>
  </sheetData>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8AD06-ABCA-4739-9CD5-96A0C0858003}">
  <sheetPr codeName="Sheet7"/>
  <dimension ref="A1:E11"/>
  <sheetViews>
    <sheetView workbookViewId="0"/>
  </sheetViews>
  <sheetFormatPr defaultRowHeight="15" x14ac:dyDescent="0.25"/>
  <cols>
    <col min="1" max="1" width="13.140625" bestFit="1" customWidth="1"/>
    <col min="2" max="2" width="15.5703125" bestFit="1" customWidth="1"/>
  </cols>
  <sheetData>
    <row r="1" spans="1:5" x14ac:dyDescent="0.25">
      <c r="A1" s="22" t="s">
        <v>20</v>
      </c>
      <c r="B1" t="s">
        <v>25</v>
      </c>
      <c r="D1" t="str">
        <f>IF(LEFT(B1,1)="(","",": "&amp;B1)</f>
        <v>: West</v>
      </c>
      <c r="E1" t="str">
        <f>"Annual Revenue Trend - Region: "&amp;SUBSTITUTE(B1,"Items","Regions")</f>
        <v>Annual Revenue Trend - Region: West</v>
      </c>
    </row>
    <row r="3" spans="1:5" x14ac:dyDescent="0.25">
      <c r="A3" s="22" t="s">
        <v>26</v>
      </c>
      <c r="B3" t="s">
        <v>28</v>
      </c>
    </row>
    <row r="4" spans="1:5" x14ac:dyDescent="0.25">
      <c r="A4" s="23">
        <v>2011</v>
      </c>
      <c r="B4" s="24">
        <v>146364</v>
      </c>
    </row>
    <row r="5" spans="1:5" x14ac:dyDescent="0.25">
      <c r="A5" s="23">
        <v>2012</v>
      </c>
      <c r="B5" s="24">
        <v>174686</v>
      </c>
    </row>
    <row r="6" spans="1:5" x14ac:dyDescent="0.25">
      <c r="A6" s="23">
        <v>2013</v>
      </c>
      <c r="B6" s="24">
        <v>195025</v>
      </c>
    </row>
    <row r="7" spans="1:5" x14ac:dyDescent="0.25">
      <c r="A7" s="23">
        <v>2014</v>
      </c>
      <c r="B7" s="24">
        <v>136122</v>
      </c>
    </row>
    <row r="8" spans="1:5" x14ac:dyDescent="0.25">
      <c r="A8" s="23">
        <v>2015</v>
      </c>
      <c r="B8" s="24">
        <v>137497</v>
      </c>
    </row>
    <row r="9" spans="1:5" x14ac:dyDescent="0.25">
      <c r="A9" s="23">
        <v>2016</v>
      </c>
      <c r="B9" s="24">
        <v>169893</v>
      </c>
    </row>
    <row r="10" spans="1:5" x14ac:dyDescent="0.25">
      <c r="A10" s="23">
        <v>2017</v>
      </c>
      <c r="B10" s="24">
        <v>183016</v>
      </c>
    </row>
    <row r="11" spans="1:5" x14ac:dyDescent="0.25">
      <c r="A11" s="23" t="s">
        <v>27</v>
      </c>
      <c r="B11" s="24">
        <v>1142603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F00B-0C08-4B8F-9EBB-B55A294D6A56}">
  <sheetPr codeName="Sheet8"/>
  <dimension ref="A1:C29"/>
  <sheetViews>
    <sheetView workbookViewId="0"/>
  </sheetViews>
  <sheetFormatPr defaultRowHeight="15" x14ac:dyDescent="0.25"/>
  <cols>
    <col min="2" max="2" width="9.28515625" customWidth="1"/>
    <col min="3" max="3" width="12.140625" customWidth="1"/>
  </cols>
  <sheetData>
    <row r="1" spans="1:3" x14ac:dyDescent="0.25">
      <c r="A1" t="s">
        <v>6</v>
      </c>
      <c r="B1" t="s">
        <v>20</v>
      </c>
      <c r="C1" t="s">
        <v>21</v>
      </c>
    </row>
    <row r="2" spans="1:3" x14ac:dyDescent="0.25">
      <c r="A2">
        <v>2011</v>
      </c>
      <c r="B2" t="s">
        <v>22</v>
      </c>
      <c r="C2" s="21">
        <v>148948</v>
      </c>
    </row>
    <row r="3" spans="1:3" x14ac:dyDescent="0.25">
      <c r="A3">
        <v>2012</v>
      </c>
      <c r="B3" t="s">
        <v>22</v>
      </c>
      <c r="C3" s="21">
        <v>198068</v>
      </c>
    </row>
    <row r="4" spans="1:3" x14ac:dyDescent="0.25">
      <c r="A4">
        <v>2013</v>
      </c>
      <c r="B4" t="s">
        <v>22</v>
      </c>
      <c r="C4" s="21">
        <v>176858</v>
      </c>
    </row>
    <row r="5" spans="1:3" x14ac:dyDescent="0.25">
      <c r="A5">
        <v>2014</v>
      </c>
      <c r="B5" t="s">
        <v>22</v>
      </c>
      <c r="C5" s="21">
        <v>121785</v>
      </c>
    </row>
    <row r="6" spans="1:3" x14ac:dyDescent="0.25">
      <c r="A6">
        <v>2015</v>
      </c>
      <c r="B6" t="s">
        <v>22</v>
      </c>
      <c r="C6" s="21">
        <v>102733</v>
      </c>
    </row>
    <row r="7" spans="1:3" x14ac:dyDescent="0.25">
      <c r="A7">
        <v>2016</v>
      </c>
      <c r="B7" t="s">
        <v>22</v>
      </c>
      <c r="C7" s="21">
        <v>153815</v>
      </c>
    </row>
    <row r="8" spans="1:3" x14ac:dyDescent="0.25">
      <c r="A8">
        <v>2017</v>
      </c>
      <c r="B8" t="s">
        <v>22</v>
      </c>
      <c r="C8" s="21">
        <v>206496</v>
      </c>
    </row>
    <row r="9" spans="1:3" x14ac:dyDescent="0.25">
      <c r="A9">
        <v>2011</v>
      </c>
      <c r="B9" t="s">
        <v>23</v>
      </c>
      <c r="C9" s="21">
        <v>154265</v>
      </c>
    </row>
    <row r="10" spans="1:3" x14ac:dyDescent="0.25">
      <c r="A10">
        <v>2012</v>
      </c>
      <c r="B10" t="s">
        <v>23</v>
      </c>
      <c r="C10" s="21">
        <v>144675</v>
      </c>
    </row>
    <row r="11" spans="1:3" x14ac:dyDescent="0.25">
      <c r="A11">
        <v>2013</v>
      </c>
      <c r="B11" t="s">
        <v>23</v>
      </c>
      <c r="C11" s="21">
        <v>185661</v>
      </c>
    </row>
    <row r="12" spans="1:3" x14ac:dyDescent="0.25">
      <c r="A12">
        <v>2014</v>
      </c>
      <c r="B12" t="s">
        <v>23</v>
      </c>
      <c r="C12" s="21">
        <v>140284</v>
      </c>
    </row>
    <row r="13" spans="1:3" x14ac:dyDescent="0.25">
      <c r="A13">
        <v>2015</v>
      </c>
      <c r="B13" t="s">
        <v>23</v>
      </c>
      <c r="C13" s="21">
        <v>196037</v>
      </c>
    </row>
    <row r="14" spans="1:3" x14ac:dyDescent="0.25">
      <c r="A14">
        <v>2016</v>
      </c>
      <c r="B14" t="s">
        <v>23</v>
      </c>
      <c r="C14" s="21">
        <v>177365</v>
      </c>
    </row>
    <row r="15" spans="1:3" x14ac:dyDescent="0.25">
      <c r="A15">
        <v>2017</v>
      </c>
      <c r="B15" t="s">
        <v>23</v>
      </c>
      <c r="C15" s="21">
        <v>151178</v>
      </c>
    </row>
    <row r="16" spans="1:3" x14ac:dyDescent="0.25">
      <c r="A16">
        <v>2011</v>
      </c>
      <c r="B16" t="s">
        <v>24</v>
      </c>
      <c r="C16" s="21">
        <v>163143</v>
      </c>
    </row>
    <row r="17" spans="1:3" x14ac:dyDescent="0.25">
      <c r="A17">
        <v>2012</v>
      </c>
      <c r="B17" t="s">
        <v>24</v>
      </c>
      <c r="C17" s="21">
        <v>116394</v>
      </c>
    </row>
    <row r="18" spans="1:3" x14ac:dyDescent="0.25">
      <c r="A18">
        <v>2013</v>
      </c>
      <c r="B18" t="s">
        <v>24</v>
      </c>
      <c r="C18" s="21">
        <v>110816</v>
      </c>
    </row>
    <row r="19" spans="1:3" x14ac:dyDescent="0.25">
      <c r="A19">
        <v>2014</v>
      </c>
      <c r="B19" t="s">
        <v>24</v>
      </c>
      <c r="C19" s="21">
        <v>145228</v>
      </c>
    </row>
    <row r="20" spans="1:3" x14ac:dyDescent="0.25">
      <c r="A20">
        <v>2015</v>
      </c>
      <c r="B20" t="s">
        <v>24</v>
      </c>
      <c r="C20" s="21">
        <v>133629</v>
      </c>
    </row>
    <row r="21" spans="1:3" x14ac:dyDescent="0.25">
      <c r="A21">
        <v>2016</v>
      </c>
      <c r="B21" t="s">
        <v>24</v>
      </c>
      <c r="C21" s="21">
        <v>161632</v>
      </c>
    </row>
    <row r="22" spans="1:3" x14ac:dyDescent="0.25">
      <c r="A22">
        <v>2017</v>
      </c>
      <c r="B22" t="s">
        <v>24</v>
      </c>
      <c r="C22" s="21">
        <v>157855</v>
      </c>
    </row>
    <row r="23" spans="1:3" x14ac:dyDescent="0.25">
      <c r="A23">
        <v>2011</v>
      </c>
      <c r="B23" t="s">
        <v>25</v>
      </c>
      <c r="C23" s="21">
        <v>146364</v>
      </c>
    </row>
    <row r="24" spans="1:3" x14ac:dyDescent="0.25">
      <c r="A24">
        <v>2012</v>
      </c>
      <c r="B24" t="s">
        <v>25</v>
      </c>
      <c r="C24" s="21">
        <v>174686</v>
      </c>
    </row>
    <row r="25" spans="1:3" x14ac:dyDescent="0.25">
      <c r="A25">
        <v>2013</v>
      </c>
      <c r="B25" t="s">
        <v>25</v>
      </c>
      <c r="C25" s="21">
        <v>195025</v>
      </c>
    </row>
    <row r="26" spans="1:3" x14ac:dyDescent="0.25">
      <c r="A26">
        <v>2014</v>
      </c>
      <c r="B26" t="s">
        <v>25</v>
      </c>
      <c r="C26" s="21">
        <v>136122</v>
      </c>
    </row>
    <row r="27" spans="1:3" x14ac:dyDescent="0.25">
      <c r="A27">
        <v>2015</v>
      </c>
      <c r="B27" t="s">
        <v>25</v>
      </c>
      <c r="C27" s="21">
        <v>137497</v>
      </c>
    </row>
    <row r="28" spans="1:3" x14ac:dyDescent="0.25">
      <c r="A28">
        <v>2016</v>
      </c>
      <c r="B28" t="s">
        <v>25</v>
      </c>
      <c r="C28" s="21">
        <v>169893</v>
      </c>
    </row>
    <row r="29" spans="1:3" x14ac:dyDescent="0.25">
      <c r="A29">
        <v>2017</v>
      </c>
      <c r="B29" t="s">
        <v>25</v>
      </c>
      <c r="C29" s="21">
        <v>183016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5D4D7-6ABB-46A8-A304-636D8B15EAA0}">
  <sheetPr codeName="Sheet3"/>
  <dimension ref="A1:B2"/>
  <sheetViews>
    <sheetView showGridLines="0" workbookViewId="0"/>
  </sheetViews>
  <sheetFormatPr defaultRowHeight="15" x14ac:dyDescent="0.25"/>
  <cols>
    <col min="2" max="2" width="68.140625" bestFit="1" customWidth="1"/>
  </cols>
  <sheetData>
    <row r="1" spans="1:2" x14ac:dyDescent="0.25">
      <c r="A1" s="1" t="s">
        <v>12</v>
      </c>
      <c r="B1" t="s">
        <v>13</v>
      </c>
    </row>
    <row r="2" spans="1:2" x14ac:dyDescent="0.25">
      <c r="A2" s="1" t="s">
        <v>14</v>
      </c>
      <c r="B2" s="14" t="s">
        <v>15</v>
      </c>
    </row>
  </sheetData>
  <hyperlinks>
    <hyperlink ref="B2" r:id="rId1" xr:uid="{AFCBA17F-A90F-4C17-AF8F-FAF42CD277DB}"/>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E74938C-ED2E-4189-969A-2E4CB87550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Column Chart Pct Var</vt:lpstr>
      <vt:lpstr>Example</vt:lpstr>
      <vt:lpstr>Conditional Format</vt:lpstr>
      <vt:lpstr>Macro - Wayne</vt:lpstr>
      <vt:lpstr>Combo XY - Peltier</vt:lpstr>
      <vt:lpstr>Iterations</vt:lpstr>
      <vt:lpstr>Positive Only</vt:lpstr>
      <vt:lpstr>Conditional Format v1</vt:lpstr>
      <vt:lpstr>Pivot</vt:lpstr>
      <vt:lpstr>Data</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Acampora</dc:creator>
  <cp:lastModifiedBy>Gehan Angely</cp:lastModifiedBy>
  <dcterms:created xsi:type="dcterms:W3CDTF">2018-10-16T16:30:54Z</dcterms:created>
  <dcterms:modified xsi:type="dcterms:W3CDTF">2021-04-10T15:32:24Z</dcterms:modified>
</cp:coreProperties>
</file>